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ca mae\Downloads\"/>
    </mc:Choice>
  </mc:AlternateContent>
  <xr:revisionPtr revIDLastSave="0" documentId="8_{42C007DE-B9AD-47F1-A4B9-84625B014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8" r:id="rId1"/>
    <sheet name="Cleaned Data" sheetId="13" r:id="rId2"/>
    <sheet name="Calculations" sheetId="14" r:id="rId3"/>
    <sheet name="Pivot Table" sheetId="19" r:id="rId4"/>
    <sheet name="Chart" sheetId="18" r:id="rId5"/>
    <sheet name="Interpretation and recommendati" sheetId="21" r:id="rId6"/>
  </sheets>
  <definedNames>
    <definedName name="_xlnm._FilterDatabase" localSheetId="0" hidden="1">Raw_Data!$A$1:$J$51</definedName>
    <definedName name="_xlnm.Print_Area" localSheetId="2">Calculations!$A$1:$P$33</definedName>
    <definedName name="_xlnm.Print_Area" localSheetId="1">'Cleaned Data'!$A$1:$Q$56</definedName>
    <definedName name="_xlnm.Print_Area" localSheetId="5">'Interpretation and recommendati'!$A$1:$A$33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4" l="1"/>
  <c r="G2" i="14"/>
  <c r="C26" i="14"/>
  <c r="B56" i="13"/>
  <c r="B55" i="13"/>
  <c r="B54" i="13"/>
  <c r="P13" i="14"/>
  <c r="O13" i="14"/>
  <c r="N13" i="14"/>
  <c r="M13" i="14"/>
  <c r="L13" i="14"/>
  <c r="L9" i="14"/>
  <c r="P12" i="14"/>
  <c r="O12" i="14"/>
  <c r="N12" i="14"/>
  <c r="M12" i="14"/>
  <c r="L12" i="14"/>
  <c r="P11" i="14"/>
  <c r="O11" i="14"/>
  <c r="N11" i="14"/>
  <c r="M11" i="14"/>
  <c r="L11" i="14"/>
  <c r="P10" i="14"/>
  <c r="O10" i="14"/>
  <c r="N10" i="14"/>
  <c r="M10" i="14"/>
  <c r="L10" i="14"/>
  <c r="P9" i="14"/>
  <c r="O9" i="14"/>
  <c r="N9" i="14"/>
  <c r="M9" i="14"/>
  <c r="B14" i="19"/>
  <c r="D27" i="14"/>
  <c r="D26" i="14"/>
  <c r="D25" i="14"/>
  <c r="C27" i="14"/>
  <c r="C25" i="14"/>
  <c r="E10" i="14"/>
  <c r="D10" i="14"/>
  <c r="C10" i="14"/>
  <c r="P21" i="14"/>
  <c r="P20" i="14"/>
  <c r="N6" i="14"/>
  <c r="N5" i="14"/>
  <c r="N4" i="14"/>
  <c r="N3" i="14"/>
  <c r="N2" i="14"/>
  <c r="J4" i="14"/>
  <c r="L4" i="14"/>
  <c r="K4" i="14" a="1"/>
  <c r="K4" i="14" s="1"/>
  <c r="J3" i="14"/>
  <c r="L3" i="14"/>
  <c r="L2" i="14"/>
  <c r="K3" i="14" a="1"/>
  <c r="K3" i="14" s="1"/>
  <c r="K2" i="14" a="1"/>
  <c r="K2" i="14" s="1"/>
  <c r="J2" i="14"/>
  <c r="H5" i="14" a="1"/>
  <c r="H5" i="14" s="1"/>
  <c r="H4" i="14" a="1"/>
  <c r="H4" i="14" s="1"/>
  <c r="H3" i="14" a="1"/>
  <c r="H3" i="14" s="1"/>
  <c r="H2" i="14" a="1"/>
  <c r="H2" i="14" s="1"/>
  <c r="D21" i="14"/>
  <c r="D20" i="14"/>
  <c r="D19" i="14"/>
  <c r="D18" i="14"/>
  <c r="B22" i="14"/>
  <c r="B21" i="14"/>
  <c r="B20" i="14"/>
  <c r="B19" i="14"/>
  <c r="B18" i="14"/>
  <c r="A22" i="14" a="1"/>
  <c r="A22" i="14" s="1"/>
  <c r="A21" i="14" a="1"/>
  <c r="A21" i="14" s="1"/>
  <c r="A20" i="14" a="1"/>
  <c r="A20" i="14" s="1"/>
  <c r="A19" i="14" a="1"/>
  <c r="A19" i="14" s="1"/>
  <c r="A18" i="14" a="1"/>
  <c r="A18" i="14" s="1"/>
  <c r="G6" i="14"/>
  <c r="G5" i="14"/>
  <c r="G4" i="14"/>
  <c r="G3" i="14"/>
  <c r="B9" i="14"/>
  <c r="B10" i="14"/>
  <c r="E5" i="14"/>
  <c r="E4" i="14"/>
  <c r="E3" i="14"/>
  <c r="E2" i="14"/>
  <c r="D5" i="14"/>
  <c r="D4" i="14"/>
  <c r="D3" i="14"/>
  <c r="D2" i="14"/>
  <c r="C5" i="14"/>
  <c r="C4" i="14"/>
  <c r="C3" i="14"/>
  <c r="C2" i="14"/>
  <c r="B5" i="14"/>
  <c r="B4" i="14"/>
  <c r="B3" i="14"/>
  <c r="B2" i="14"/>
  <c r="C28" i="14" l="1"/>
  <c r="D28" i="14"/>
  <c r="I9" i="14" l="1"/>
  <c r="I10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<sst xmlns="http://schemas.openxmlformats.org/spreadsheetml/2006/main" count="735" uniqueCount="130">
  <si>
    <t>Yes</t>
  </si>
  <si>
    <t>No</t>
  </si>
  <si>
    <t>Department</t>
  </si>
  <si>
    <t>Library</t>
  </si>
  <si>
    <t>IT</t>
  </si>
  <si>
    <t>Asset_ID</t>
  </si>
  <si>
    <t>Equipment_Type</t>
  </si>
  <si>
    <t>Brand</t>
  </si>
  <si>
    <t>Condition</t>
  </si>
  <si>
    <t>Age_Years</t>
  </si>
  <si>
    <t>Quantity</t>
  </si>
  <si>
    <t>Unit_Cost</t>
  </si>
  <si>
    <t>Maintenance_Cost</t>
  </si>
  <si>
    <t>Warranty</t>
  </si>
  <si>
    <t>A8000</t>
  </si>
  <si>
    <t>Desktop</t>
  </si>
  <si>
    <t>Epson</t>
  </si>
  <si>
    <t>Fair</t>
  </si>
  <si>
    <t>A8001</t>
  </si>
  <si>
    <t>Projector</t>
  </si>
  <si>
    <t>Dell</t>
  </si>
  <si>
    <t>Admin</t>
  </si>
  <si>
    <t>A8002</t>
  </si>
  <si>
    <t>Laptop</t>
  </si>
  <si>
    <t>Faculty</t>
  </si>
  <si>
    <t>A8003</t>
  </si>
  <si>
    <t>Cisco</t>
  </si>
  <si>
    <t>Needs Repair</t>
  </si>
  <si>
    <t>A8004</t>
  </si>
  <si>
    <t>Router</t>
  </si>
  <si>
    <t>Good</t>
  </si>
  <si>
    <t>A8005</t>
  </si>
  <si>
    <t>HP</t>
  </si>
  <si>
    <t>A8006</t>
  </si>
  <si>
    <t>A8007</t>
  </si>
  <si>
    <t>A8008</t>
  </si>
  <si>
    <t>A8009</t>
  </si>
  <si>
    <t>Lenovo</t>
  </si>
  <si>
    <t>A8010</t>
  </si>
  <si>
    <t>A8011</t>
  </si>
  <si>
    <t>A8012</t>
  </si>
  <si>
    <t>A8013</t>
  </si>
  <si>
    <t>A8014</t>
  </si>
  <si>
    <t>A8015</t>
  </si>
  <si>
    <t>A8016</t>
  </si>
  <si>
    <t>Printer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</si>
  <si>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</si>
  <si>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</si>
  <si>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</si>
  <si>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</si>
  <si>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</si>
  <si>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</si>
  <si>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</si>
  <si>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</si>
  <si>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</si>
  <si>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</si>
  <si>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</si>
  <si>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</si>
  <si>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</si>
  <si>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</si>
  <si>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</si>
  <si>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</si>
  <si>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</si>
  <si>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</si>
  <si>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</si>
  <si>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</si>
  <si>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</si>
  <si>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</si>
  <si>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</si>
  <si>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</si>
  <si>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</si>
  <si>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</si>
  <si>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</si>
  <si>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</si>
  <si>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</si>
  <si>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</si>
  <si>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</si>
  <si>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</si>
  <si>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</si>
  <si>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Result</t>
  </si>
  <si>
    <t>Duplicate Asset_IDs</t>
  </si>
  <si>
    <t>Blank in Age_Years</t>
  </si>
  <si>
    <t>Blank in Quantity</t>
  </si>
  <si>
    <t>Data Check</t>
  </si>
  <si>
    <t>Metric</t>
  </si>
  <si>
    <t>Mean</t>
  </si>
  <si>
    <t>Median</t>
  </si>
  <si>
    <t>Min</t>
  </si>
  <si>
    <t>Max</t>
  </si>
  <si>
    <t>Total Units</t>
  </si>
  <si>
    <t>Total Acquisition Value</t>
  </si>
  <si>
    <t>Row Labels</t>
  </si>
  <si>
    <t>Grand Total</t>
  </si>
  <si>
    <t>Sum of Quantity</t>
  </si>
  <si>
    <t>Equipment Type</t>
  </si>
  <si>
    <t>Total Maintenance Cost</t>
  </si>
  <si>
    <t>Warranty Status</t>
  </si>
  <si>
    <t>Average Maintenance Cost</t>
  </si>
  <si>
    <t>Highest Maintenance Cost</t>
  </si>
  <si>
    <t>Maintenance Cost</t>
  </si>
  <si>
    <t>Priority Level</t>
  </si>
  <si>
    <t>Criteria / Condition</t>
  </si>
  <si>
    <t>Record Count</t>
  </si>
  <si>
    <t>High Priority (Needs Repair)</t>
  </si>
  <si>
    <t>Condition = Needs Repair</t>
  </si>
  <si>
    <t>Medium Priority (Aging)</t>
  </si>
  <si>
    <t>Age &gt;= 5 &amp; Condition = Fair</t>
  </si>
  <si>
    <t>Low Priority (Normal)</t>
  </si>
  <si>
    <t>All Other Equipment</t>
  </si>
  <si>
    <t>Total</t>
  </si>
  <si>
    <t>—</t>
  </si>
  <si>
    <t>Sum of Unit_Cost</t>
  </si>
  <si>
    <t>Sum of Maintenance_Cost</t>
  </si>
  <si>
    <t>Average of Age_year</t>
  </si>
  <si>
    <t>Highest Inventory Value</t>
  </si>
  <si>
    <t>Top Equipment Type</t>
  </si>
  <si>
    <t>Key Patterns</t>
  </si>
  <si>
    <t>Inventory Issues</t>
  </si>
  <si>
    <t>Imbalanced Laptop Allocation</t>
  </si>
  <si>
    <r>
      <t>Issue:</t>
    </r>
    <r>
      <rPr>
        <sz val="11"/>
        <color theme="1"/>
        <rFont val="Calibri"/>
        <family val="2"/>
        <scheme val="minor"/>
      </rPr>
      <t xml:space="preserve"> The IT department has </t>
    </r>
    <r>
      <rPr>
        <b/>
        <sz val="11"/>
        <color theme="1"/>
        <rFont val="Calibri"/>
        <family val="2"/>
        <scheme val="minor"/>
      </rPr>
      <t>0 Laptops</t>
    </r>
    <r>
      <rPr>
        <sz val="11"/>
        <color theme="1"/>
        <rFont val="Calibri"/>
        <family val="2"/>
        <scheme val="minor"/>
      </rPr>
      <t xml:space="preserve"> (holds 15 Desktops instead), while Faculty (18) and Library (25) hold the vast majority.</t>
    </r>
  </si>
  <si>
    <t>Printer Hoarding in IT</t>
  </si>
  <si>
    <r>
      <t>Issue:</t>
    </r>
    <r>
      <rPr>
        <sz val="11"/>
        <color theme="1"/>
        <rFont val="Calibri"/>
        <family val="2"/>
        <scheme val="minor"/>
      </rPr>
      <t xml:space="preserve"> IT holds </t>
    </r>
    <r>
      <rPr>
        <b/>
        <sz val="11"/>
        <color theme="1"/>
        <rFont val="Calibri"/>
        <family val="2"/>
        <scheme val="minor"/>
      </rPr>
      <t>18 out of the total 35 Printers</t>
    </r>
    <r>
      <rPr>
        <sz val="11"/>
        <color theme="1"/>
        <rFont val="Calibri"/>
        <family val="2"/>
        <scheme val="minor"/>
      </rPr>
      <t xml:space="preserve"> (over 50% of all printer inventory), while Library only has 12 and Admin has 2.</t>
    </r>
  </si>
  <si>
    <t>Heavy Router Concentration in Library</t>
  </si>
  <si>
    <r>
      <t>Issue:</t>
    </r>
    <r>
      <rPr>
        <sz val="11"/>
        <color theme="1"/>
        <rFont val="Calibri"/>
        <family val="2"/>
        <scheme val="minor"/>
      </rPr>
      <t xml:space="preserve"> The Library holds </t>
    </r>
    <r>
      <rPr>
        <b/>
        <sz val="11"/>
        <color theme="1"/>
        <rFont val="Calibri"/>
        <family val="2"/>
        <scheme val="minor"/>
      </rPr>
      <t>35 out of 61 Routers</t>
    </r>
    <r>
      <rPr>
        <sz val="11"/>
        <color theme="1"/>
        <rFont val="Calibri"/>
        <family val="2"/>
        <scheme val="minor"/>
      </rPr>
      <t xml:space="preserve"> (57% of total router stock).</t>
    </r>
  </si>
  <si>
    <t>Aging Desktop Inventory</t>
  </si>
  <si>
    <r>
      <t>Issue:</t>
    </r>
    <r>
      <rPr>
        <sz val="11"/>
        <color theme="1"/>
        <rFont val="Calibri"/>
        <family val="2"/>
        <scheme val="minor"/>
      </rPr>
      <t xml:space="preserve"> Desktops have the highest average age (</t>
    </r>
    <r>
      <rPr>
        <b/>
        <sz val="11"/>
        <color theme="1"/>
        <rFont val="Calibri"/>
        <family val="2"/>
        <scheme val="minor"/>
      </rPr>
      <t>4.5 years</t>
    </r>
    <r>
      <rPr>
        <sz val="11"/>
        <color theme="1"/>
        <rFont val="Calibri"/>
        <family val="2"/>
        <scheme val="minor"/>
      </rPr>
      <t xml:space="preserve">), with total maintenance costs already reaching </t>
    </r>
    <r>
      <rPr>
        <b/>
        <sz val="11"/>
        <color theme="1"/>
        <rFont val="Calibri"/>
        <family val="2"/>
        <scheme val="minor"/>
      </rPr>
      <t>₱21,890.00</t>
    </r>
    <r>
      <rPr>
        <sz val="11"/>
        <color theme="1"/>
        <rFont val="Calibri"/>
        <family val="2"/>
        <scheme val="minor"/>
      </rPr>
      <t>.</t>
    </r>
  </si>
  <si>
    <t>Evidence-Based Recommendations</t>
  </si>
  <si>
    <r>
      <t>Reallocate 3 Laptops to IT:</t>
    </r>
    <r>
      <rPr>
        <sz val="11"/>
        <color theme="1"/>
        <rFont val="Calibri"/>
        <family val="2"/>
        <scheme val="minor"/>
      </rPr>
      <t xml:space="preserve"> Shift idle laptops from Faculty or Library to eliminate IT's complete lack of mobile hardware.</t>
    </r>
  </si>
  <si>
    <r>
      <t>Redistribute 10 Printers from IT:</t>
    </r>
    <r>
      <rPr>
        <sz val="11"/>
        <color theme="1"/>
        <rFont val="Calibri"/>
        <family val="2"/>
        <scheme val="minor"/>
      </rPr>
      <t xml:space="preserve"> Transfer excess printer stock from IT storage to high-demand departments like Admin and Faculty.</t>
    </r>
  </si>
  <si>
    <r>
      <t>Reclassify 35 Library Routers:</t>
    </r>
    <r>
      <rPr>
        <sz val="11"/>
        <color theme="1"/>
        <rFont val="Calibri"/>
        <family val="2"/>
        <scheme val="minor"/>
      </rPr>
      <t xml:space="preserve"> Re-tag central network infrastructure correctly under IT operational control rather than Library inventory.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</si>
</sst>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₱&quot;#,##0.00"/>
    <numFmt numFmtId="166" formatCode="&quot;₱&quot;#,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 applyAlignment="1">
      <alignment horizontal="left" vertical="center" wrapText="1" indent="1"/>
    </xf>
    <xf numFmtId="2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top"/>
    </xf>
    <xf numFmtId="0" fontId="4" fillId="2" borderId="4" xfId="0" applyFont="1" applyFill="1" applyBorder="1"/>
    <xf numFmtId="0" fontId="4" fillId="2" borderId="2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/>
    <xf numFmtId="0" fontId="0" fillId="0" borderId="7" xfId="0" applyBorder="1"/>
    <xf numFmtId="0" fontId="4" fillId="2" borderId="3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5" fillId="2" borderId="4" xfId="0" applyFont="1" applyFill="1" applyBorder="1"/>
    <xf numFmtId="0" fontId="5" fillId="2" borderId="6" xfId="0" applyFont="1" applyFill="1" applyBorder="1"/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0" fillId="0" borderId="1" xfId="0" pivotButton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2" borderId="0" xfId="0" applyFont="1" applyFill="1" applyAlignment="1"/>
    <xf numFmtId="0" fontId="4" fillId="2" borderId="9" xfId="0" applyFont="1" applyFill="1" applyBorder="1" applyAlignment="1"/>
    <xf numFmtId="0" fontId="0" fillId="0" borderId="1" xfId="0" applyBorder="1" applyAlignment="1"/>
    <xf numFmtId="0" fontId="0" fillId="0" borderId="0" xfId="0" applyAlignment="1"/>
    <xf numFmtId="0" fontId="6" fillId="2" borderId="8" xfId="0" applyFont="1" applyFill="1" applyBorder="1" applyAlignment="1"/>
    <xf numFmtId="0" fontId="6" fillId="2" borderId="1" xfId="0" applyFont="1" applyFill="1" applyBorder="1" applyAlignment="1"/>
    <xf numFmtId="0" fontId="0" fillId="0" borderId="2" xfId="0" applyBorder="1" applyAlignment="1"/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Equipment Units by Equipment Type.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Calculations!$G$1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Calculations!$F$2:$F$6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Printer</c:v>
                </c:pt>
                <c:pt idx="3">
                  <c:v>Router</c:v>
                </c:pt>
                <c:pt idx="4">
                  <c:v>Projector</c:v>
                </c:pt>
              </c:strCache>
            </c:strRef>
          </c:cat>
          <c:val>
            <c:numRef>
              <c:f>Calculations!$G$2:$G$6</c:f>
              <c:numCache>
                <c:formatCode>General</c:formatCode>
                <c:ptCount val="5"/>
                <c:pt idx="0">
                  <c:v>49</c:v>
                </c:pt>
                <c:pt idx="1">
                  <c:v>60</c:v>
                </c:pt>
                <c:pt idx="2">
                  <c:v>31</c:v>
                </c:pt>
                <c:pt idx="3">
                  <c:v>61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0-4584-8715-E746464397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47470735"/>
        <c:axId val="1606983823"/>
      </c:barChart>
      <c:catAx>
        <c:axId val="19474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983823"/>
        <c:crosses val="autoZero"/>
        <c:auto val="1"/>
        <c:lblAlgn val="ctr"/>
        <c:lblOffset val="100"/>
        <c:noMultiLvlLbl val="0"/>
      </c:catAx>
      <c:valAx>
        <c:axId val="16069838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4747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Equipment By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Calculations!$J$1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Calculations!$I$2:$I$4</c:f>
              <c:strCache>
                <c:ptCount val="3"/>
                <c:pt idx="0">
                  <c:v>Good</c:v>
                </c:pt>
                <c:pt idx="1">
                  <c:v>Fair</c:v>
                </c:pt>
                <c:pt idx="2">
                  <c:v>Needs Repair</c:v>
                </c:pt>
              </c:strCache>
            </c:strRef>
          </c:cat>
          <c:val>
            <c:numRef>
              <c:f>Calculations!$J$2:$J$4</c:f>
              <c:numCache>
                <c:formatCode>General</c:formatCode>
                <c:ptCount val="3"/>
                <c:pt idx="0">
                  <c:v>108</c:v>
                </c:pt>
                <c:pt idx="1">
                  <c:v>97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F-4E85-BC5F-E18D9E1F7F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0884431"/>
        <c:axId val="1998764239"/>
      </c:barChart>
      <c:catAx>
        <c:axId val="195088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64239"/>
        <c:crosses val="autoZero"/>
        <c:auto val="1"/>
        <c:lblAlgn val="ctr"/>
        <c:lblOffset val="100"/>
        <c:noMultiLvlLbl val="0"/>
      </c:catAx>
      <c:valAx>
        <c:axId val="19987642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088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Calculations!$N$1</c:f>
              <c:strCache>
                <c:ptCount val="1"/>
                <c:pt idx="0">
                  <c:v>Total Maintenance Cost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Calculations!$M$2:$M$6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Printer</c:v>
                </c:pt>
                <c:pt idx="3">
                  <c:v>Router</c:v>
                </c:pt>
                <c:pt idx="4">
                  <c:v>Projector</c:v>
                </c:pt>
              </c:strCache>
            </c:strRef>
          </c:cat>
          <c:val>
            <c:numRef>
              <c:f>Calculations!$N$2:$N$6</c:f>
              <c:numCache>
                <c:formatCode>General</c:formatCode>
                <c:ptCount val="5"/>
                <c:pt idx="0">
                  <c:v>21890</c:v>
                </c:pt>
                <c:pt idx="1">
                  <c:v>28361</c:v>
                </c:pt>
                <c:pt idx="2">
                  <c:v>19205</c:v>
                </c:pt>
                <c:pt idx="3">
                  <c:v>22081</c:v>
                </c:pt>
                <c:pt idx="4">
                  <c:v>23488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7-4FCD-9291-8A2C9249F8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0870511"/>
        <c:axId val="1998835279"/>
      </c:barChart>
      <c:catAx>
        <c:axId val="195087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35279"/>
        <c:crosses val="autoZero"/>
        <c:auto val="1"/>
        <c:lblAlgn val="ctr"/>
        <c:lblOffset val="100"/>
        <c:noMultiLvlLbl val="0"/>
      </c:catAx>
      <c:valAx>
        <c:axId val="19988352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087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673100</xdr:colOff>
      <xdr:row>14</xdr:row>
      <xdr:rowOff>114300</xdr:rowOff>
    </xdr:from>
    <xdr:to>
      <xdr:col>15</xdr:col>
      <xdr:colOff>1193800</xdr:colOff>
      <xdr:row>17</xdr:row>
      <xdr:rowOff>38100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2360ABCC-4DB4-1CA7-090A-3158BAE3731E}"/>
            </a:ext>
          </a:extLst>
        </xdr:cNvPr>
        <xdr:cNvSpPr/>
      </xdr:nvSpPr>
      <xdr:spPr>
        <a:xfrm>
          <a:off x="23888700" y="2705100"/>
          <a:ext cx="520700" cy="5080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175260</xdr:rowOff>
    </xdr:from>
    <xdr:to>
      <xdr:col>5</xdr:col>
      <xdr:colOff>464820</xdr:colOff>
      <xdr:row>11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B0C51-C105-4F53-8146-6ADB9B66C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0</xdr:row>
      <xdr:rowOff>175260</xdr:rowOff>
    </xdr:from>
    <xdr:to>
      <xdr:col>11</xdr:col>
      <xdr:colOff>403860</xdr:colOff>
      <xdr:row>11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9F4191-0145-40BC-B1FC-FE054F095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76200</xdr:colOff>
      <xdr:row>14</xdr:row>
      <xdr:rowOff>30480</xdr:rowOff>
    </xdr:from>
    <xdr:to>
      <xdr:col>8</xdr:col>
      <xdr:colOff>579120</xdr:colOff>
      <xdr:row>25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DB624-A636-4FE4-8F72-290B67179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a mae" refreshedDate="46283.025404976848" createdVersion="8" refreshedVersion="8" minRefreshableVersion="3" recordCount="50" xr:uid="{D84041C6-11BC-4172-9739-F764AD4A097B}">
  <cacheSource type="worksheet">
    <worksheetSource ref="A1:J51" sheet="Raw_Data"/>
  </cacheSource>
  <cacheFields count="10">
    <cacheField name="Asset_ID" numFmtId="0">
      <sharedItems/>
    </cacheField>
    <cacheField name="Equipment_Type" numFmtId="0">
      <sharedItems count="5">
        <s v="Desktop"/>
        <s v="Projector"/>
        <s v="Laptop"/>
        <s v="Router"/>
        <s v="Printer"/>
      </sharedItems>
    </cacheField>
    <cacheField name="Brand" numFmtId="0">
      <sharedItems/>
    </cacheField>
    <cacheField name="Condition" numFmtId="0">
      <sharedItems/>
    </cacheField>
    <cacheField name="Age_Years" numFmtId="0">
      <sharedItems containsSemiMixedTypes="0" containsString="0" containsNumber="1" containsInteger="1" minValue="0" maxValue="7"/>
    </cacheField>
    <cacheField name="Quantity" numFmtId="0">
      <sharedItems containsSemiMixedTypes="0" containsString="0" containsNumber="1" containsInteger="1" minValue="1" maxValue="10"/>
    </cacheField>
    <cacheField name="Unit_Cost" numFmtId="0">
      <sharedItems containsSemiMixedTypes="0" containsString="0" containsNumber="1" containsInteger="1" minValue="18000" maxValue="60000"/>
    </cacheField>
    <cacheField name="Maintenance_Cost" numFmtId="0">
      <sharedItems containsSemiMixedTypes="0" containsString="0" containsNumber="1" containsInteger="1" minValue="20" maxValue="5799"/>
    </cacheField>
    <cacheField name="Warranty" numFmtId="0">
      <sharedItems/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8000"/>
    <x v="0"/>
    <s v="Epson"/>
    <s v="Fair"/>
    <n v="5"/>
    <n v="2"/>
    <n v="45000"/>
    <n v="1504"/>
    <s v="No"/>
    <s v="Library"/>
  </r>
  <r>
    <s v="A8001"/>
    <x v="1"/>
    <s v="Dell"/>
    <s v="Fair"/>
    <n v="6"/>
    <n v="4"/>
    <n v="45000"/>
    <n v="3418"/>
    <s v="Yes"/>
    <s v="Admin"/>
  </r>
  <r>
    <s v="A8002"/>
    <x v="2"/>
    <s v="Dell"/>
    <s v="Fair"/>
    <n v="4"/>
    <n v="5"/>
    <n v="25000"/>
    <n v="3162"/>
    <s v="No"/>
    <s v="Faculty"/>
  </r>
  <r>
    <s v="A8003"/>
    <x v="1"/>
    <s v="Cisco"/>
    <s v="Needs Repair"/>
    <n v="5"/>
    <n v="8"/>
    <n v="25000"/>
    <n v="606"/>
    <s v="Yes"/>
    <s v="Admin"/>
  </r>
  <r>
    <s v="A8004"/>
    <x v="3"/>
    <s v="Epson"/>
    <s v="Good"/>
    <n v="3"/>
    <n v="3"/>
    <n v="25000"/>
    <n v="551"/>
    <s v="Yes"/>
    <s v="Admin"/>
  </r>
  <r>
    <s v="A8005"/>
    <x v="3"/>
    <s v="HP"/>
    <s v="Fair"/>
    <n v="2"/>
    <n v="4"/>
    <n v="45000"/>
    <n v="1341"/>
    <s v="Yes"/>
    <s v="IT"/>
  </r>
  <r>
    <s v="A8006"/>
    <x v="0"/>
    <s v="HP"/>
    <s v="Good"/>
    <n v="7"/>
    <n v="7"/>
    <n v="45000"/>
    <n v="4574"/>
    <s v="Yes"/>
    <s v="Library"/>
  </r>
  <r>
    <s v="A8007"/>
    <x v="2"/>
    <s v="Dell"/>
    <s v="Fair"/>
    <n v="7"/>
    <n v="6"/>
    <n v="25000"/>
    <n v="4615"/>
    <s v="Yes"/>
    <s v="Admin"/>
  </r>
  <r>
    <s v="A8008"/>
    <x v="3"/>
    <s v="Epson"/>
    <s v="Good"/>
    <n v="0"/>
    <n v="9"/>
    <n v="60000"/>
    <n v="456"/>
    <s v="Yes"/>
    <s v="Admin"/>
  </r>
  <r>
    <s v="A8009"/>
    <x v="3"/>
    <s v="Lenovo"/>
    <s v="Good"/>
    <n v="5"/>
    <n v="7"/>
    <n v="18000"/>
    <n v="4612"/>
    <s v="Yes"/>
    <s v="Library"/>
  </r>
  <r>
    <s v="A8010"/>
    <x v="2"/>
    <s v="Cisco"/>
    <s v="Good"/>
    <n v="6"/>
    <n v="4"/>
    <n v="60000"/>
    <n v="4779"/>
    <s v="Yes"/>
    <s v="IT"/>
  </r>
  <r>
    <s v="A8011"/>
    <x v="3"/>
    <s v="Dell"/>
    <s v="Needs Repair"/>
    <n v="1"/>
    <n v="1"/>
    <n v="60000"/>
    <n v="759"/>
    <s v="No"/>
    <s v="IT"/>
  </r>
  <r>
    <s v="A8012"/>
    <x v="0"/>
    <s v="Dell"/>
    <s v="Fair"/>
    <n v="4"/>
    <n v="4"/>
    <n v="60000"/>
    <n v="3345"/>
    <s v="No"/>
    <s v="Admin"/>
  </r>
  <r>
    <s v="A8013"/>
    <x v="0"/>
    <s v="Cisco"/>
    <s v="Needs Repair"/>
    <n v="4"/>
    <n v="9"/>
    <n v="60000"/>
    <n v="4560"/>
    <s v="Yes"/>
    <s v="Faculty"/>
  </r>
  <r>
    <s v="A8014"/>
    <x v="0"/>
    <s v="Cisco"/>
    <s v="Needs Repair"/>
    <n v="0"/>
    <n v="6"/>
    <n v="35000"/>
    <n v="20"/>
    <s v="No"/>
    <s v="Admin"/>
  </r>
  <r>
    <s v="A8015"/>
    <x v="1"/>
    <s v="HP"/>
    <s v="Fair"/>
    <n v="4"/>
    <n v="9"/>
    <n v="25000"/>
    <n v="2594"/>
    <s v="Yes"/>
    <s v="Admin"/>
  </r>
  <r>
    <s v="A8016"/>
    <x v="4"/>
    <s v="HP"/>
    <s v="Needs Repair"/>
    <n v="5"/>
    <n v="9"/>
    <n v="25000"/>
    <n v="4377"/>
    <s v="Yes"/>
    <s v="IT"/>
  </r>
  <r>
    <s v="A8017"/>
    <x v="4"/>
    <s v="HP"/>
    <s v="Good"/>
    <n v="5"/>
    <n v="6"/>
    <n v="45000"/>
    <n v="3218"/>
    <s v="Yes"/>
    <s v="Admin"/>
  </r>
  <r>
    <s v="A8018"/>
    <x v="2"/>
    <s v="Lenovo"/>
    <s v="Good"/>
    <n v="3"/>
    <n v="7"/>
    <n v="25000"/>
    <n v="519"/>
    <s v="No"/>
    <s v="Library"/>
  </r>
  <r>
    <s v="A8019"/>
    <x v="0"/>
    <s v="Cisco"/>
    <s v="Good"/>
    <n v="5"/>
    <n v="5"/>
    <n v="35000"/>
    <n v="1273"/>
    <s v="Yes"/>
    <s v="Library"/>
  </r>
  <r>
    <s v="A8020"/>
    <x v="2"/>
    <s v="Dell"/>
    <s v="Fair"/>
    <n v="0"/>
    <n v="10"/>
    <n v="18000"/>
    <n v="447"/>
    <s v="No"/>
    <s v="Library"/>
  </r>
  <r>
    <s v="A8021"/>
    <x v="1"/>
    <s v="Cisco"/>
    <s v="Needs Repair"/>
    <n v="1"/>
    <n v="4"/>
    <n v="25000"/>
    <n v="24"/>
    <s v="Yes"/>
    <s v="IT"/>
  </r>
  <r>
    <s v="A8022"/>
    <x v="2"/>
    <s v="Cisco"/>
    <s v="Good"/>
    <n v="7"/>
    <n v="6"/>
    <n v="25000"/>
    <n v="4720"/>
    <s v="Yes"/>
    <s v="Faculty"/>
  </r>
  <r>
    <s v="A8023"/>
    <x v="3"/>
    <s v="Lenovo"/>
    <s v="Fair"/>
    <n v="5"/>
    <n v="6"/>
    <n v="45000"/>
    <n v="1453"/>
    <s v="No"/>
    <s v="Admin"/>
  </r>
  <r>
    <s v="A8024"/>
    <x v="2"/>
    <s v="Cisco"/>
    <s v="Good"/>
    <n v="7"/>
    <n v="7"/>
    <n v="18000"/>
    <n v="3437"/>
    <s v="Yes"/>
    <s v="Faculty"/>
  </r>
  <r>
    <s v="A8025"/>
    <x v="0"/>
    <s v="Cisco"/>
    <s v="Fair"/>
    <n v="7"/>
    <n v="6"/>
    <n v="45000"/>
    <n v="5283"/>
    <s v="Yes"/>
    <s v="IT"/>
  </r>
  <r>
    <s v="A8026"/>
    <x v="3"/>
    <s v="HP"/>
    <s v="Needs Repair"/>
    <n v="6"/>
    <n v="7"/>
    <n v="18000"/>
    <n v="2945"/>
    <s v="Yes"/>
    <s v="Admin"/>
  </r>
  <r>
    <s v="A8027"/>
    <x v="0"/>
    <s v="Cisco"/>
    <s v="Good"/>
    <n v="4"/>
    <n v="10"/>
    <n v="18000"/>
    <n v="1331"/>
    <s v="Yes"/>
    <s v="IT"/>
  </r>
  <r>
    <s v="A8028"/>
    <x v="2"/>
    <s v="HP"/>
    <s v="Fair"/>
    <n v="2"/>
    <n v="6"/>
    <n v="25000"/>
    <n v="633"/>
    <s v="Yes"/>
    <s v="Library"/>
  </r>
  <r>
    <s v="A8029"/>
    <x v="4"/>
    <s v="HP"/>
    <s v="Good"/>
    <n v="7"/>
    <n v="2"/>
    <n v="35000"/>
    <n v="3543"/>
    <s v="Yes"/>
    <s v="Admin"/>
  </r>
  <r>
    <s v="A8030"/>
    <x v="3"/>
    <s v="Epson"/>
    <s v="Good"/>
    <n v="3"/>
    <n v="5"/>
    <n v="35000"/>
    <n v="485"/>
    <s v="Yes"/>
    <s v="IT"/>
  </r>
  <r>
    <s v="A8031"/>
    <x v="1"/>
    <s v="Epson"/>
    <s v="Fair"/>
    <n v="3"/>
    <n v="3"/>
    <n v="35000"/>
    <n v="1169"/>
    <s v="Yes"/>
    <s v="Faculty"/>
  </r>
  <r>
    <s v="A8032"/>
    <x v="4"/>
    <s v="HP"/>
    <s v="Needs Repair"/>
    <n v="7"/>
    <n v="8"/>
    <n v="35000"/>
    <n v="701"/>
    <s v="Yes"/>
    <s v="IT"/>
  </r>
  <r>
    <s v="A8033"/>
    <x v="1"/>
    <s v="Dell"/>
    <s v="Needs Repair"/>
    <n v="2"/>
    <n v="6"/>
    <n v="35000"/>
    <n v="307"/>
    <s v="Yes"/>
    <s v="Admin"/>
  </r>
  <r>
    <s v="A8034"/>
    <x v="3"/>
    <s v="Epson"/>
    <s v="Fair"/>
    <n v="7"/>
    <n v="2"/>
    <n v="25000"/>
    <n v="5003"/>
    <s v="Yes"/>
    <s v="Faculty"/>
  </r>
  <r>
    <s v="A8035"/>
    <x v="3"/>
    <s v="HP"/>
    <s v="Fair"/>
    <n v="0"/>
    <n v="4"/>
    <n v="35000"/>
    <n v="677"/>
    <s v="No"/>
    <s v="Admin"/>
  </r>
  <r>
    <s v="A8036"/>
    <x v="1"/>
    <s v="Epson"/>
    <s v="Good"/>
    <n v="4"/>
    <n v="8"/>
    <n v="45000"/>
    <n v="5799"/>
    <s v="Yes"/>
    <s v="IT"/>
  </r>
  <r>
    <s v="A8037"/>
    <x v="4"/>
    <s v="Dell"/>
    <s v="Fair"/>
    <n v="7"/>
    <n v="1"/>
    <n v="18000"/>
    <n v="5789"/>
    <s v="Yes"/>
    <s v="Faculty"/>
  </r>
  <r>
    <s v="A8038"/>
    <x v="1"/>
    <s v="Dell"/>
    <s v="Needs Repair"/>
    <n v="0"/>
    <n v="6"/>
    <n v="18000"/>
    <n v="701"/>
    <s v="Yes"/>
    <s v="Faculty"/>
  </r>
  <r>
    <s v="A8039"/>
    <x v="2"/>
    <s v="Lenovo"/>
    <s v="Needs Repair"/>
    <n v="4"/>
    <n v="1"/>
    <n v="18000"/>
    <n v="2591"/>
    <s v="Yes"/>
    <s v="Admin"/>
  </r>
  <r>
    <s v="A8040"/>
    <x v="2"/>
    <s v="Lenovo"/>
    <s v="Fair"/>
    <n v="2"/>
    <n v="5"/>
    <n v="45000"/>
    <n v="1451"/>
    <s v="No"/>
    <s v="Admin"/>
  </r>
  <r>
    <s v="A8041"/>
    <x v="3"/>
    <s v="Lenovo"/>
    <s v="Fair"/>
    <n v="6"/>
    <n v="3"/>
    <n v="25000"/>
    <n v="3566"/>
    <s v="Yes"/>
    <s v="Faculty"/>
  </r>
  <r>
    <s v="A8042"/>
    <x v="4"/>
    <s v="Cisco"/>
    <s v="Fair"/>
    <n v="2"/>
    <n v="2"/>
    <n v="18000"/>
    <n v="572"/>
    <s v="Yes"/>
    <s v="Admin"/>
  </r>
  <r>
    <s v="A8043"/>
    <x v="1"/>
    <s v="Dell"/>
    <s v="Good"/>
    <n v="5"/>
    <n v="9"/>
    <n v="35000"/>
    <n v="1899"/>
    <s v="No"/>
    <s v="IT"/>
  </r>
  <r>
    <s v="A8044"/>
    <x v="1"/>
    <s v="Epson"/>
    <s v="Good"/>
    <n v="5"/>
    <n v="10"/>
    <n v="18000"/>
    <n v="5258"/>
    <s v="No"/>
    <s v="Admin"/>
  </r>
  <r>
    <s v="A8045"/>
    <x v="1"/>
    <s v="Lenovo"/>
    <s v="Fair"/>
    <n v="4"/>
    <n v="2"/>
    <n v="35000"/>
    <n v="1713"/>
    <s v="Yes"/>
    <s v="Library"/>
  </r>
  <r>
    <s v="A8046"/>
    <x v="3"/>
    <s v="Lenovo"/>
    <s v="Fair"/>
    <n v="2"/>
    <n v="10"/>
    <n v="18000"/>
    <n v="233"/>
    <s v="Yes"/>
    <s v="Faculty"/>
  </r>
  <r>
    <s v="A8047"/>
    <x v="2"/>
    <s v="Epson"/>
    <s v="Fair"/>
    <n v="4"/>
    <n v="3"/>
    <n v="25000"/>
    <n v="2007"/>
    <s v="No"/>
    <s v="IT"/>
  </r>
  <r>
    <s v="A8048"/>
    <x v="4"/>
    <s v="HP"/>
    <s v="Good"/>
    <n v="0"/>
    <n v="3"/>
    <n v="60000"/>
    <n v="1005"/>
    <s v="Yes"/>
    <s v="IT"/>
  </r>
  <r>
    <s v="A8049"/>
    <x v="3"/>
    <s v="Lenovo"/>
    <s v="Needs Repair"/>
    <n v="2"/>
    <n v="9"/>
    <n v="45000"/>
    <n v="157"/>
    <s v="No"/>
    <s v="Facul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00D66-9F1C-430E-AC85-A886D2DCF6D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10"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5" baseField="0" baseItem="0"/>
    <dataField name="Average of Age_year" fld="4" subtotal="average" baseField="1" baseItem="0" numFmtId="164"/>
    <dataField name="Sum of Unit_Cost" fld="6" baseField="0" baseItem="0" numFmtId="165"/>
    <dataField name="Sum of Maintenance_Cost" fld="7" baseField="0" baseItem="0" numFmtId="165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1"/>
  <sheetViews>
    <sheetView tabSelected="1" view="pageBreakPreview" zoomScale="60" zoomScaleNormal="90" workbookViewId="0">
      <pane ySplit="1" topLeftCell="A5" activePane="bottomLeft" state="frozen"/>
      <selection pane="bottomLeft" sqref="A1:J51"/>
    </sheetView>
  </sheetViews>
  <sheetFormatPr defaultRowHeight="14.4"/>
  <cols>
    <col min="1" max="1" width="12.6640625" bestFit="1" customWidth="1"/>
    <col min="2" max="2" width="21.5546875" bestFit="1" customWidth="1"/>
    <col min="3" max="3" width="12" customWidth="1"/>
    <col min="4" max="4" width="14" customWidth="1"/>
    <col min="5" max="5" width="14.44140625" bestFit="1" customWidth="1"/>
    <col min="6" max="6" width="12.6640625" bestFit="1" customWidth="1"/>
    <col min="7" max="7" width="15.6640625" customWidth="1"/>
    <col min="8" max="8" width="32.5546875" customWidth="1"/>
    <col min="9" max="9" width="13.5546875" bestFit="1" customWidth="1"/>
    <col min="10" max="10" width="26.5546875" customWidth="1"/>
  </cols>
  <sheetData>
    <row r="1" spans="1:10" s="2" customFormat="1" ht="18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2</v>
      </c>
    </row>
    <row r="2" spans="1:10" s="2" customFormat="1">
      <c r="A2" s="2" t="s">
        <v>14</v>
      </c>
      <c r="B2" s="2" t="s">
        <v>15</v>
      </c>
      <c r="C2" s="2" t="s">
        <v>16</v>
      </c>
      <c r="D2" s="2" t="s">
        <v>17</v>
      </c>
      <c r="E2" s="2">
        <v>5</v>
      </c>
      <c r="F2" s="2">
        <v>2</v>
      </c>
      <c r="G2" s="2">
        <v>45000</v>
      </c>
      <c r="H2" s="2">
        <v>1504</v>
      </c>
      <c r="I2" s="2" t="s">
        <v>1</v>
      </c>
      <c r="J2" s="2" t="s">
        <v>3</v>
      </c>
    </row>
    <row r="3" spans="1:10" s="2" customFormat="1">
      <c r="A3" s="2" t="s">
        <v>18</v>
      </c>
      <c r="B3" s="2" t="s">
        <v>19</v>
      </c>
      <c r="C3" s="2" t="s">
        <v>20</v>
      </c>
      <c r="D3" s="2" t="s">
        <v>17</v>
      </c>
      <c r="E3" s="2">
        <v>6</v>
      </c>
      <c r="F3" s="2">
        <v>4</v>
      </c>
      <c r="G3" s="2">
        <v>45000</v>
      </c>
      <c r="H3" s="2">
        <v>3418</v>
      </c>
      <c r="I3" s="2" t="s">
        <v>0</v>
      </c>
      <c r="J3" s="2" t="s">
        <v>21</v>
      </c>
    </row>
    <row r="4" spans="1:10" s="2" customFormat="1">
      <c r="A4" s="2" t="s">
        <v>22</v>
      </c>
      <c r="B4" s="2" t="s">
        <v>23</v>
      </c>
      <c r="C4" s="2" t="s">
        <v>20</v>
      </c>
      <c r="D4" s="2" t="s">
        <v>17</v>
      </c>
      <c r="E4" s="2">
        <v>4</v>
      </c>
      <c r="F4" s="2">
        <v>5</v>
      </c>
      <c r="G4" s="2">
        <v>25000</v>
      </c>
      <c r="H4" s="2">
        <v>3162</v>
      </c>
      <c r="I4" s="2" t="s">
        <v>1</v>
      </c>
      <c r="J4" s="2" t="s">
        <v>24</v>
      </c>
    </row>
    <row r="5" spans="1:10" s="2" customFormat="1">
      <c r="A5" s="2" t="s">
        <v>25</v>
      </c>
      <c r="B5" s="2" t="s">
        <v>19</v>
      </c>
      <c r="C5" s="2" t="s">
        <v>26</v>
      </c>
      <c r="D5" s="2" t="s">
        <v>27</v>
      </c>
      <c r="E5" s="2">
        <v>5</v>
      </c>
      <c r="F5" s="2">
        <v>8</v>
      </c>
      <c r="G5" s="2">
        <v>25000</v>
      </c>
      <c r="H5" s="2">
        <v>606</v>
      </c>
      <c r="I5" s="2" t="s">
        <v>0</v>
      </c>
      <c r="J5" s="2" t="s">
        <v>21</v>
      </c>
    </row>
    <row r="6" spans="1:10" s="2" customFormat="1">
      <c r="A6" s="2" t="s">
        <v>28</v>
      </c>
      <c r="B6" s="2" t="s">
        <v>29</v>
      </c>
      <c r="C6" s="2" t="s">
        <v>16</v>
      </c>
      <c r="D6" s="2" t="s">
        <v>30</v>
      </c>
      <c r="E6" s="2">
        <v>3</v>
      </c>
      <c r="F6" s="2">
        <v>3</v>
      </c>
      <c r="G6" s="2">
        <v>25000</v>
      </c>
      <c r="H6" s="2">
        <v>551</v>
      </c>
      <c r="I6" s="2" t="s">
        <v>0</v>
      </c>
      <c r="J6" s="2" t="s">
        <v>21</v>
      </c>
    </row>
    <row r="7" spans="1:10" s="2" customFormat="1">
      <c r="A7" s="2" t="s">
        <v>31</v>
      </c>
      <c r="B7" s="2" t="s">
        <v>29</v>
      </c>
      <c r="C7" s="2" t="s">
        <v>32</v>
      </c>
      <c r="D7" s="2" t="s">
        <v>17</v>
      </c>
      <c r="E7" s="2">
        <v>2</v>
      </c>
      <c r="F7" s="2">
        <v>4</v>
      </c>
      <c r="G7" s="2">
        <v>45000</v>
      </c>
      <c r="H7" s="2">
        <v>1341</v>
      </c>
      <c r="I7" s="2" t="s">
        <v>0</v>
      </c>
      <c r="J7" s="2" t="s">
        <v>4</v>
      </c>
    </row>
    <row r="8" spans="1:10" s="2" customFormat="1">
      <c r="A8" s="2" t="s">
        <v>33</v>
      </c>
      <c r="B8" s="2" t="s">
        <v>15</v>
      </c>
      <c r="C8" s="2" t="s">
        <v>32</v>
      </c>
      <c r="D8" s="2" t="s">
        <v>30</v>
      </c>
      <c r="E8" s="2">
        <v>7</v>
      </c>
      <c r="F8" s="2">
        <v>7</v>
      </c>
      <c r="G8" s="2">
        <v>45000</v>
      </c>
      <c r="H8" s="2">
        <v>4574</v>
      </c>
      <c r="I8" s="2" t="s">
        <v>0</v>
      </c>
      <c r="J8" s="2" t="s">
        <v>3</v>
      </c>
    </row>
    <row r="9" spans="1:10" s="2" customFormat="1">
      <c r="A9" s="2" t="s">
        <v>34</v>
      </c>
      <c r="B9" s="2" t="s">
        <v>23</v>
      </c>
      <c r="C9" s="2" t="s">
        <v>20</v>
      </c>
      <c r="D9" s="2" t="s">
        <v>17</v>
      </c>
      <c r="E9" s="2">
        <v>7</v>
      </c>
      <c r="F9" s="2">
        <v>6</v>
      </c>
      <c r="G9" s="2">
        <v>25000</v>
      </c>
      <c r="H9" s="2">
        <v>4615</v>
      </c>
      <c r="I9" s="2" t="s">
        <v>0</v>
      </c>
      <c r="J9" s="2" t="s">
        <v>21</v>
      </c>
    </row>
    <row r="10" spans="1:10" s="2" customFormat="1">
      <c r="A10" s="2" t="s">
        <v>35</v>
      </c>
      <c r="B10" s="2" t="s">
        <v>29</v>
      </c>
      <c r="C10" s="2" t="s">
        <v>16</v>
      </c>
      <c r="D10" s="2" t="s">
        <v>30</v>
      </c>
      <c r="E10" s="2">
        <v>0</v>
      </c>
      <c r="F10" s="2">
        <v>9</v>
      </c>
      <c r="G10" s="2">
        <v>60000</v>
      </c>
      <c r="H10" s="2">
        <v>456</v>
      </c>
      <c r="I10" s="2" t="s">
        <v>0</v>
      </c>
      <c r="J10" s="2" t="s">
        <v>21</v>
      </c>
    </row>
    <row r="11" spans="1:10" s="2" customFormat="1">
      <c r="A11" s="2" t="s">
        <v>36</v>
      </c>
      <c r="B11" s="2" t="s">
        <v>29</v>
      </c>
      <c r="C11" s="2" t="s">
        <v>37</v>
      </c>
      <c r="D11" s="2" t="s">
        <v>30</v>
      </c>
      <c r="E11" s="2">
        <v>5</v>
      </c>
      <c r="F11" s="2">
        <v>7</v>
      </c>
      <c r="G11" s="2">
        <v>18000</v>
      </c>
      <c r="H11" s="2">
        <v>4612</v>
      </c>
      <c r="I11" s="2" t="s">
        <v>0</v>
      </c>
      <c r="J11" s="2" t="s">
        <v>3</v>
      </c>
    </row>
    <row r="12" spans="1:10" s="2" customFormat="1">
      <c r="A12" s="2" t="s">
        <v>38</v>
      </c>
      <c r="B12" s="2" t="s">
        <v>23</v>
      </c>
      <c r="C12" s="2" t="s">
        <v>26</v>
      </c>
      <c r="D12" s="2" t="s">
        <v>30</v>
      </c>
      <c r="E12" s="2">
        <v>6</v>
      </c>
      <c r="F12" s="2">
        <v>4</v>
      </c>
      <c r="G12" s="2">
        <v>60000</v>
      </c>
      <c r="H12" s="2">
        <v>4779</v>
      </c>
      <c r="I12" s="2" t="s">
        <v>0</v>
      </c>
      <c r="J12" s="2" t="s">
        <v>4</v>
      </c>
    </row>
    <row r="13" spans="1:10" s="2" customFormat="1">
      <c r="A13" s="2" t="s">
        <v>39</v>
      </c>
      <c r="B13" s="2" t="s">
        <v>29</v>
      </c>
      <c r="C13" s="2" t="s">
        <v>20</v>
      </c>
      <c r="D13" s="2" t="s">
        <v>27</v>
      </c>
      <c r="E13" s="2">
        <v>1</v>
      </c>
      <c r="F13" s="2">
        <v>1</v>
      </c>
      <c r="G13" s="2">
        <v>60000</v>
      </c>
      <c r="H13" s="2">
        <v>759</v>
      </c>
      <c r="I13" s="2" t="s">
        <v>1</v>
      </c>
      <c r="J13" s="2" t="s">
        <v>4</v>
      </c>
    </row>
    <row r="14" spans="1:10" s="2" customFormat="1">
      <c r="A14" s="2" t="s">
        <v>40</v>
      </c>
      <c r="B14" s="2" t="s">
        <v>15</v>
      </c>
      <c r="C14" s="2" t="s">
        <v>20</v>
      </c>
      <c r="D14" s="2" t="s">
        <v>17</v>
      </c>
      <c r="E14" s="2">
        <v>4</v>
      </c>
      <c r="F14" s="2">
        <v>4</v>
      </c>
      <c r="G14" s="2">
        <v>60000</v>
      </c>
      <c r="H14" s="2">
        <v>3345</v>
      </c>
      <c r="I14" s="2" t="s">
        <v>1</v>
      </c>
      <c r="J14" s="2" t="s">
        <v>21</v>
      </c>
    </row>
    <row r="15" spans="1:10" s="2" customFormat="1">
      <c r="A15" s="2" t="s">
        <v>41</v>
      </c>
      <c r="B15" s="2" t="s">
        <v>15</v>
      </c>
      <c r="C15" s="2" t="s">
        <v>26</v>
      </c>
      <c r="D15" s="2" t="s">
        <v>27</v>
      </c>
      <c r="E15" s="2">
        <v>4</v>
      </c>
      <c r="F15" s="2">
        <v>9</v>
      </c>
      <c r="G15" s="2">
        <v>60000</v>
      </c>
      <c r="H15" s="2">
        <v>4560</v>
      </c>
      <c r="I15" s="2" t="s">
        <v>0</v>
      </c>
      <c r="J15" s="2" t="s">
        <v>24</v>
      </c>
    </row>
    <row r="16" spans="1:10" s="2" customFormat="1">
      <c r="A16" s="2" t="s">
        <v>42</v>
      </c>
      <c r="B16" s="2" t="s">
        <v>15</v>
      </c>
      <c r="C16" s="2" t="s">
        <v>26</v>
      </c>
      <c r="D16" s="2" t="s">
        <v>27</v>
      </c>
      <c r="E16" s="2">
        <v>0</v>
      </c>
      <c r="F16" s="2">
        <v>6</v>
      </c>
      <c r="G16" s="2">
        <v>35000</v>
      </c>
      <c r="H16" s="2">
        <v>20</v>
      </c>
      <c r="I16" s="2" t="s">
        <v>1</v>
      </c>
      <c r="J16" s="2" t="s">
        <v>21</v>
      </c>
    </row>
    <row r="17" spans="1:10" s="2" customFormat="1">
      <c r="A17" s="2" t="s">
        <v>43</v>
      </c>
      <c r="B17" s="2" t="s">
        <v>19</v>
      </c>
      <c r="C17" s="2" t="s">
        <v>32</v>
      </c>
      <c r="D17" s="2" t="s">
        <v>17</v>
      </c>
      <c r="E17" s="2">
        <v>4</v>
      </c>
      <c r="F17" s="2">
        <v>9</v>
      </c>
      <c r="G17" s="2">
        <v>25000</v>
      </c>
      <c r="H17" s="2">
        <v>2594</v>
      </c>
      <c r="I17" s="2" t="s">
        <v>0</v>
      </c>
      <c r="J17" s="2" t="s">
        <v>21</v>
      </c>
    </row>
    <row r="18" spans="1:10" s="2" customFormat="1">
      <c r="A18" s="2" t="s">
        <v>44</v>
      </c>
      <c r="B18" s="2" t="s">
        <v>45</v>
      </c>
      <c r="C18" s="2" t="s">
        <v>32</v>
      </c>
      <c r="D18" s="2" t="s">
        <v>27</v>
      </c>
      <c r="E18" s="2">
        <v>5</v>
      </c>
      <c r="F18" s="2">
        <v>9</v>
      </c>
      <c r="G18" s="2">
        <v>25000</v>
      </c>
      <c r="H18" s="2">
        <v>4377</v>
      </c>
      <c r="I18" s="2" t="s">
        <v>0</v>
      </c>
      <c r="J18" s="2" t="s">
        <v>4</v>
      </c>
    </row>
    <row r="19" spans="1:10" s="2" customFormat="1">
      <c r="A19" s="2" t="s">
        <v>46</v>
      </c>
      <c r="B19" s="2" t="s">
        <v>45</v>
      </c>
      <c r="C19" s="2" t="s">
        <v>32</v>
      </c>
      <c r="D19" s="2" t="s">
        <v>30</v>
      </c>
      <c r="E19" s="2">
        <v>5</v>
      </c>
      <c r="F19" s="2">
        <v>6</v>
      </c>
      <c r="G19" s="2">
        <v>45000</v>
      </c>
      <c r="H19" s="2">
        <v>3218</v>
      </c>
      <c r="I19" s="2" t="s">
        <v>0</v>
      </c>
      <c r="J19" s="2" t="s">
        <v>21</v>
      </c>
    </row>
    <row r="20" spans="1:10" s="2" customFormat="1">
      <c r="A20" s="2" t="s">
        <v>47</v>
      </c>
      <c r="B20" s="2" t="s">
        <v>23</v>
      </c>
      <c r="C20" s="2" t="s">
        <v>37</v>
      </c>
      <c r="D20" s="2" t="s">
        <v>30</v>
      </c>
      <c r="E20" s="2">
        <v>3</v>
      </c>
      <c r="F20" s="2">
        <v>7</v>
      </c>
      <c r="G20" s="2">
        <v>25000</v>
      </c>
      <c r="H20" s="2">
        <v>519</v>
      </c>
      <c r="I20" s="2" t="s">
        <v>1</v>
      </c>
      <c r="J20" s="2" t="s">
        <v>3</v>
      </c>
    </row>
    <row r="21" spans="1:10" s="2" customFormat="1">
      <c r="A21" s="2" t="s">
        <v>48</v>
      </c>
      <c r="B21" s="2" t="s">
        <v>15</v>
      </c>
      <c r="C21" s="2" t="s">
        <v>26</v>
      </c>
      <c r="D21" s="2" t="s">
        <v>30</v>
      </c>
      <c r="E21" s="2">
        <v>5</v>
      </c>
      <c r="F21" s="2">
        <v>5</v>
      </c>
      <c r="G21" s="2">
        <v>35000</v>
      </c>
      <c r="H21" s="2">
        <v>1273</v>
      </c>
      <c r="I21" s="2" t="s">
        <v>0</v>
      </c>
      <c r="J21" s="2" t="s">
        <v>3</v>
      </c>
    </row>
    <row r="22" spans="1:10" s="2" customFormat="1">
      <c r="A22" s="2" t="s">
        <v>49</v>
      </c>
      <c r="B22" s="2" t="s">
        <v>23</v>
      </c>
      <c r="C22" s="2" t="s">
        <v>20</v>
      </c>
      <c r="D22" s="2" t="s">
        <v>17</v>
      </c>
      <c r="E22" s="2">
        <v>0</v>
      </c>
      <c r="F22" s="2">
        <v>10</v>
      </c>
      <c r="G22" s="2">
        <v>18000</v>
      </c>
      <c r="H22" s="2">
        <v>447</v>
      </c>
      <c r="I22" s="2" t="s">
        <v>1</v>
      </c>
      <c r="J22" s="2" t="s">
        <v>3</v>
      </c>
    </row>
    <row r="23" spans="1:10" s="2" customFormat="1">
      <c r="A23" s="2" t="s">
        <v>50</v>
      </c>
      <c r="B23" s="2" t="s">
        <v>19</v>
      </c>
      <c r="C23" s="2" t="s">
        <v>26</v>
      </c>
      <c r="D23" s="2" t="s">
        <v>27</v>
      </c>
      <c r="E23" s="2">
        <v>1</v>
      </c>
      <c r="F23" s="2">
        <v>4</v>
      </c>
      <c r="G23" s="2">
        <v>25000</v>
      </c>
      <c r="H23" s="2">
        <v>24</v>
      </c>
      <c r="I23" s="2" t="s">
        <v>0</v>
      </c>
      <c r="J23" s="2" t="s">
        <v>4</v>
      </c>
    </row>
    <row r="24" spans="1:10" s="2" customFormat="1">
      <c r="A24" s="2" t="s">
        <v>51</v>
      </c>
      <c r="B24" s="2" t="s">
        <v>23</v>
      </c>
      <c r="C24" s="2" t="s">
        <v>26</v>
      </c>
      <c r="D24" s="2" t="s">
        <v>30</v>
      </c>
      <c r="E24" s="2">
        <v>7</v>
      </c>
      <c r="F24" s="2">
        <v>6</v>
      </c>
      <c r="G24" s="2">
        <v>25000</v>
      </c>
      <c r="H24" s="2">
        <v>4720</v>
      </c>
      <c r="I24" s="2" t="s">
        <v>0</v>
      </c>
      <c r="J24" s="2" t="s">
        <v>24</v>
      </c>
    </row>
    <row r="25" spans="1:10" s="2" customFormat="1">
      <c r="A25" s="2" t="s">
        <v>52</v>
      </c>
      <c r="B25" s="2" t="s">
        <v>29</v>
      </c>
      <c r="C25" s="2" t="s">
        <v>37</v>
      </c>
      <c r="D25" s="2" t="s">
        <v>17</v>
      </c>
      <c r="E25" s="2">
        <v>5</v>
      </c>
      <c r="F25" s="2">
        <v>6</v>
      </c>
      <c r="G25" s="2">
        <v>45000</v>
      </c>
      <c r="H25" s="2">
        <v>1453</v>
      </c>
      <c r="I25" s="2" t="s">
        <v>1</v>
      </c>
      <c r="J25" s="2" t="s">
        <v>21</v>
      </c>
    </row>
    <row r="26" spans="1:10" s="2" customFormat="1">
      <c r="A26" s="2" t="s">
        <v>53</v>
      </c>
      <c r="B26" s="2" t="s">
        <v>23</v>
      </c>
      <c r="C26" s="2" t="s">
        <v>26</v>
      </c>
      <c r="D26" s="2" t="s">
        <v>30</v>
      </c>
      <c r="E26" s="2">
        <v>7</v>
      </c>
      <c r="F26" s="2">
        <v>7</v>
      </c>
      <c r="G26" s="2">
        <v>18000</v>
      </c>
      <c r="H26" s="2">
        <v>3437</v>
      </c>
      <c r="I26" s="2" t="s">
        <v>0</v>
      </c>
      <c r="J26" s="2" t="s">
        <v>24</v>
      </c>
    </row>
    <row r="27" spans="1:10" s="2" customFormat="1">
      <c r="A27" s="2" t="s">
        <v>54</v>
      </c>
      <c r="B27" s="2" t="s">
        <v>15</v>
      </c>
      <c r="C27" s="2" t="s">
        <v>26</v>
      </c>
      <c r="D27" s="2" t="s">
        <v>17</v>
      </c>
      <c r="E27" s="2">
        <v>7</v>
      </c>
      <c r="F27" s="2">
        <v>6</v>
      </c>
      <c r="G27" s="2">
        <v>45000</v>
      </c>
      <c r="H27" s="2">
        <v>5283</v>
      </c>
      <c r="I27" s="2" t="s">
        <v>0</v>
      </c>
      <c r="J27" s="2" t="s">
        <v>4</v>
      </c>
    </row>
    <row r="28" spans="1:10" s="2" customFormat="1">
      <c r="A28" s="2" t="s">
        <v>55</v>
      </c>
      <c r="B28" s="2" t="s">
        <v>29</v>
      </c>
      <c r="C28" s="2" t="s">
        <v>32</v>
      </c>
      <c r="D28" s="2" t="s">
        <v>27</v>
      </c>
      <c r="E28" s="2">
        <v>6</v>
      </c>
      <c r="F28" s="2">
        <v>7</v>
      </c>
      <c r="G28" s="2">
        <v>18000</v>
      </c>
      <c r="H28" s="2">
        <v>2945</v>
      </c>
      <c r="I28" s="2" t="s">
        <v>0</v>
      </c>
      <c r="J28" s="2" t="s">
        <v>21</v>
      </c>
    </row>
    <row r="29" spans="1:10" s="2" customFormat="1">
      <c r="A29" s="2" t="s">
        <v>56</v>
      </c>
      <c r="B29" s="2" t="s">
        <v>15</v>
      </c>
      <c r="C29" s="2" t="s">
        <v>26</v>
      </c>
      <c r="D29" s="2" t="s">
        <v>30</v>
      </c>
      <c r="E29" s="2">
        <v>4</v>
      </c>
      <c r="F29" s="2">
        <v>10</v>
      </c>
      <c r="G29" s="2">
        <v>18000</v>
      </c>
      <c r="H29" s="2">
        <v>1331</v>
      </c>
      <c r="I29" s="2" t="s">
        <v>0</v>
      </c>
      <c r="J29" s="2" t="s">
        <v>4</v>
      </c>
    </row>
    <row r="30" spans="1:10" s="2" customFormat="1">
      <c r="A30" s="2" t="s">
        <v>57</v>
      </c>
      <c r="B30" s="2" t="s">
        <v>23</v>
      </c>
      <c r="C30" s="2" t="s">
        <v>32</v>
      </c>
      <c r="D30" s="2" t="s">
        <v>17</v>
      </c>
      <c r="E30" s="2">
        <v>2</v>
      </c>
      <c r="F30" s="2">
        <v>6</v>
      </c>
      <c r="G30" s="2">
        <v>25000</v>
      </c>
      <c r="H30" s="2">
        <v>633</v>
      </c>
      <c r="I30" s="2" t="s">
        <v>0</v>
      </c>
      <c r="J30" s="2" t="s">
        <v>3</v>
      </c>
    </row>
    <row r="31" spans="1:10" s="2" customFormat="1">
      <c r="A31" s="2" t="s">
        <v>58</v>
      </c>
      <c r="B31" s="2" t="s">
        <v>45</v>
      </c>
      <c r="C31" s="2" t="s">
        <v>32</v>
      </c>
      <c r="D31" s="2" t="s">
        <v>30</v>
      </c>
      <c r="E31" s="2">
        <v>7</v>
      </c>
      <c r="F31" s="2">
        <v>2</v>
      </c>
      <c r="G31" s="2">
        <v>35000</v>
      </c>
      <c r="H31" s="2">
        <v>3543</v>
      </c>
      <c r="I31" s="2" t="s">
        <v>0</v>
      </c>
      <c r="J31" s="2" t="s">
        <v>21</v>
      </c>
    </row>
    <row r="32" spans="1:10" s="2" customFormat="1">
      <c r="A32" s="2" t="s">
        <v>59</v>
      </c>
      <c r="B32" s="2" t="s">
        <v>29</v>
      </c>
      <c r="C32" s="2" t="s">
        <v>16</v>
      </c>
      <c r="D32" s="2" t="s">
        <v>30</v>
      </c>
      <c r="E32" s="2">
        <v>3</v>
      </c>
      <c r="F32" s="2">
        <v>5</v>
      </c>
      <c r="G32" s="2">
        <v>35000</v>
      </c>
      <c r="H32" s="2">
        <v>485</v>
      </c>
      <c r="I32" s="2" t="s">
        <v>0</v>
      </c>
      <c r="J32" s="2" t="s">
        <v>4</v>
      </c>
    </row>
    <row r="33" spans="1:10" s="2" customFormat="1">
      <c r="A33" s="2" t="s">
        <v>60</v>
      </c>
      <c r="B33" s="2" t="s">
        <v>19</v>
      </c>
      <c r="C33" s="2" t="s">
        <v>16</v>
      </c>
      <c r="D33" s="2" t="s">
        <v>17</v>
      </c>
      <c r="E33" s="2">
        <v>3</v>
      </c>
      <c r="F33" s="2">
        <v>3</v>
      </c>
      <c r="G33" s="2">
        <v>35000</v>
      </c>
      <c r="H33" s="2">
        <v>1169</v>
      </c>
      <c r="I33" s="2" t="s">
        <v>0</v>
      </c>
      <c r="J33" s="2" t="s">
        <v>24</v>
      </c>
    </row>
    <row r="34" spans="1:10" s="2" customFormat="1">
      <c r="A34" s="2" t="s">
        <v>61</v>
      </c>
      <c r="B34" s="2" t="s">
        <v>45</v>
      </c>
      <c r="C34" s="2" t="s">
        <v>32</v>
      </c>
      <c r="D34" s="2" t="s">
        <v>27</v>
      </c>
      <c r="E34" s="2">
        <v>7</v>
      </c>
      <c r="F34" s="2">
        <v>8</v>
      </c>
      <c r="G34" s="2">
        <v>35000</v>
      </c>
      <c r="H34" s="2">
        <v>701</v>
      </c>
      <c r="I34" s="2" t="s">
        <v>0</v>
      </c>
      <c r="J34" s="2" t="s">
        <v>4</v>
      </c>
    </row>
    <row r="35" spans="1:10" s="2" customFormat="1">
      <c r="A35" s="2" t="s">
        <v>62</v>
      </c>
      <c r="B35" s="2" t="s">
        <v>19</v>
      </c>
      <c r="C35" s="2" t="s">
        <v>20</v>
      </c>
      <c r="D35" s="2" t="s">
        <v>27</v>
      </c>
      <c r="E35" s="2">
        <v>2</v>
      </c>
      <c r="F35" s="2">
        <v>6</v>
      </c>
      <c r="G35" s="2">
        <v>35000</v>
      </c>
      <c r="H35" s="2">
        <v>307</v>
      </c>
      <c r="I35" s="2" t="s">
        <v>0</v>
      </c>
      <c r="J35" s="2" t="s">
        <v>21</v>
      </c>
    </row>
    <row r="36" spans="1:10" s="2" customFormat="1">
      <c r="A36" s="2" t="s">
        <v>63</v>
      </c>
      <c r="B36" s="2" t="s">
        <v>29</v>
      </c>
      <c r="C36" s="2" t="s">
        <v>16</v>
      </c>
      <c r="D36" s="2" t="s">
        <v>17</v>
      </c>
      <c r="E36" s="2">
        <v>7</v>
      </c>
      <c r="F36" s="2">
        <v>2</v>
      </c>
      <c r="G36" s="2">
        <v>25000</v>
      </c>
      <c r="H36" s="2">
        <v>5003</v>
      </c>
      <c r="I36" s="2" t="s">
        <v>0</v>
      </c>
      <c r="J36" s="2" t="s">
        <v>24</v>
      </c>
    </row>
    <row r="37" spans="1:10" s="2" customFormat="1">
      <c r="A37" s="2" t="s">
        <v>64</v>
      </c>
      <c r="B37" s="2" t="s">
        <v>29</v>
      </c>
      <c r="C37" s="2" t="s">
        <v>32</v>
      </c>
      <c r="D37" s="2" t="s">
        <v>17</v>
      </c>
      <c r="E37" s="2">
        <v>0</v>
      </c>
      <c r="F37" s="2">
        <v>4</v>
      </c>
      <c r="G37" s="2">
        <v>35000</v>
      </c>
      <c r="H37" s="2">
        <v>677</v>
      </c>
      <c r="I37" s="2" t="s">
        <v>1</v>
      </c>
      <c r="J37" s="2" t="s">
        <v>21</v>
      </c>
    </row>
    <row r="38" spans="1:10" s="2" customFormat="1">
      <c r="A38" s="2" t="s">
        <v>65</v>
      </c>
      <c r="B38" s="2" t="s">
        <v>19</v>
      </c>
      <c r="C38" s="2" t="s">
        <v>16</v>
      </c>
      <c r="D38" s="2" t="s">
        <v>30</v>
      </c>
      <c r="E38" s="2">
        <v>4</v>
      </c>
      <c r="F38" s="2">
        <v>8</v>
      </c>
      <c r="G38" s="2">
        <v>45000</v>
      </c>
      <c r="H38" s="2">
        <v>5799</v>
      </c>
      <c r="I38" s="2" t="s">
        <v>0</v>
      </c>
      <c r="J38" s="2" t="s">
        <v>4</v>
      </c>
    </row>
    <row r="39" spans="1:10" s="2" customFormat="1">
      <c r="A39" s="2" t="s">
        <v>66</v>
      </c>
      <c r="B39" s="2" t="s">
        <v>45</v>
      </c>
      <c r="C39" s="2" t="s">
        <v>20</v>
      </c>
      <c r="D39" s="2" t="s">
        <v>17</v>
      </c>
      <c r="E39" s="2">
        <v>7</v>
      </c>
      <c r="F39" s="2">
        <v>1</v>
      </c>
      <c r="G39" s="2">
        <v>18000</v>
      </c>
      <c r="H39" s="2">
        <v>5789</v>
      </c>
      <c r="I39" s="2" t="s">
        <v>0</v>
      </c>
      <c r="J39" s="2" t="s">
        <v>24</v>
      </c>
    </row>
    <row r="40" spans="1:10" s="2" customFormat="1">
      <c r="A40" s="2" t="s">
        <v>67</v>
      </c>
      <c r="B40" s="2" t="s">
        <v>19</v>
      </c>
      <c r="C40" s="2" t="s">
        <v>20</v>
      </c>
      <c r="D40" s="2" t="s">
        <v>27</v>
      </c>
      <c r="E40" s="2">
        <v>0</v>
      </c>
      <c r="F40" s="2">
        <v>6</v>
      </c>
      <c r="G40" s="2">
        <v>18000</v>
      </c>
      <c r="H40" s="2">
        <v>701</v>
      </c>
      <c r="I40" s="2" t="s">
        <v>0</v>
      </c>
      <c r="J40" s="2" t="s">
        <v>24</v>
      </c>
    </row>
    <row r="41" spans="1:10" s="2" customFormat="1">
      <c r="A41" s="2" t="s">
        <v>68</v>
      </c>
      <c r="B41" s="2" t="s">
        <v>23</v>
      </c>
      <c r="C41" s="2" t="s">
        <v>37</v>
      </c>
      <c r="D41" s="2" t="s">
        <v>27</v>
      </c>
      <c r="E41" s="2">
        <v>4</v>
      </c>
      <c r="F41" s="2">
        <v>1</v>
      </c>
      <c r="G41" s="2">
        <v>18000</v>
      </c>
      <c r="H41" s="2">
        <v>2591</v>
      </c>
      <c r="I41" s="2" t="s">
        <v>0</v>
      </c>
      <c r="J41" s="2" t="s">
        <v>21</v>
      </c>
    </row>
    <row r="42" spans="1:10" s="2" customFormat="1">
      <c r="A42" s="2" t="s">
        <v>69</v>
      </c>
      <c r="B42" s="2" t="s">
        <v>23</v>
      </c>
      <c r="C42" s="2" t="s">
        <v>37</v>
      </c>
      <c r="D42" s="2" t="s">
        <v>17</v>
      </c>
      <c r="E42" s="2">
        <v>2</v>
      </c>
      <c r="F42" s="2">
        <v>5</v>
      </c>
      <c r="G42" s="2">
        <v>45000</v>
      </c>
      <c r="H42" s="2">
        <v>1451</v>
      </c>
      <c r="I42" s="2" t="s">
        <v>1</v>
      </c>
      <c r="J42" s="2" t="s">
        <v>21</v>
      </c>
    </row>
    <row r="43" spans="1:10" s="2" customFormat="1">
      <c r="A43" s="2" t="s">
        <v>70</v>
      </c>
      <c r="B43" s="2" t="s">
        <v>29</v>
      </c>
      <c r="C43" s="2" t="s">
        <v>37</v>
      </c>
      <c r="D43" s="2" t="s">
        <v>17</v>
      </c>
      <c r="E43" s="2">
        <v>6</v>
      </c>
      <c r="F43" s="2">
        <v>3</v>
      </c>
      <c r="G43" s="2">
        <v>25000</v>
      </c>
      <c r="H43" s="2">
        <v>3566</v>
      </c>
      <c r="I43" s="2" t="s">
        <v>0</v>
      </c>
      <c r="J43" s="2" t="s">
        <v>24</v>
      </c>
    </row>
    <row r="44" spans="1:10" s="2" customFormat="1">
      <c r="A44" s="2" t="s">
        <v>71</v>
      </c>
      <c r="B44" s="2" t="s">
        <v>45</v>
      </c>
      <c r="C44" s="2" t="s">
        <v>26</v>
      </c>
      <c r="D44" s="2" t="s">
        <v>17</v>
      </c>
      <c r="E44" s="2">
        <v>2</v>
      </c>
      <c r="F44" s="2">
        <v>2</v>
      </c>
      <c r="G44" s="2">
        <v>18000</v>
      </c>
      <c r="H44" s="2">
        <v>572</v>
      </c>
      <c r="I44" s="2" t="s">
        <v>0</v>
      </c>
      <c r="J44" s="2" t="s">
        <v>21</v>
      </c>
    </row>
    <row r="45" spans="1:10" s="2" customFormat="1">
      <c r="A45" s="2" t="s">
        <v>72</v>
      </c>
      <c r="B45" s="2" t="s">
        <v>19</v>
      </c>
      <c r="C45" s="2" t="s">
        <v>20</v>
      </c>
      <c r="D45" s="2" t="s">
        <v>30</v>
      </c>
      <c r="E45" s="2">
        <v>5</v>
      </c>
      <c r="F45" s="2">
        <v>9</v>
      </c>
      <c r="G45" s="2">
        <v>35000</v>
      </c>
      <c r="H45" s="2">
        <v>1899</v>
      </c>
      <c r="I45" s="2" t="s">
        <v>1</v>
      </c>
      <c r="J45" s="2" t="s">
        <v>4</v>
      </c>
    </row>
    <row r="46" spans="1:10" s="2" customFormat="1">
      <c r="A46" s="2" t="s">
        <v>73</v>
      </c>
      <c r="B46" s="2" t="s">
        <v>19</v>
      </c>
      <c r="C46" s="2" t="s">
        <v>16</v>
      </c>
      <c r="D46" s="2" t="s">
        <v>30</v>
      </c>
      <c r="E46" s="2">
        <v>5</v>
      </c>
      <c r="F46" s="2">
        <v>10</v>
      </c>
      <c r="G46" s="2">
        <v>18000</v>
      </c>
      <c r="H46" s="2">
        <v>5258</v>
      </c>
      <c r="I46" s="2" t="s">
        <v>1</v>
      </c>
      <c r="J46" s="2" t="s">
        <v>21</v>
      </c>
    </row>
    <row r="47" spans="1:10" s="2" customFormat="1">
      <c r="A47" s="2" t="s">
        <v>74</v>
      </c>
      <c r="B47" s="2" t="s">
        <v>19</v>
      </c>
      <c r="C47" s="2" t="s">
        <v>37</v>
      </c>
      <c r="D47" s="2" t="s">
        <v>17</v>
      </c>
      <c r="E47" s="2">
        <v>4</v>
      </c>
      <c r="F47" s="2">
        <v>2</v>
      </c>
      <c r="G47" s="2">
        <v>35000</v>
      </c>
      <c r="H47" s="2">
        <v>1713</v>
      </c>
      <c r="I47" s="2" t="s">
        <v>0</v>
      </c>
      <c r="J47" s="2" t="s">
        <v>3</v>
      </c>
    </row>
    <row r="48" spans="1:10" s="2" customFormat="1">
      <c r="A48" s="2" t="s">
        <v>75</v>
      </c>
      <c r="B48" s="2" t="s">
        <v>29</v>
      </c>
      <c r="C48" s="2" t="s">
        <v>37</v>
      </c>
      <c r="D48" s="2" t="s">
        <v>17</v>
      </c>
      <c r="E48" s="2">
        <v>2</v>
      </c>
      <c r="F48" s="2">
        <v>10</v>
      </c>
      <c r="G48" s="2">
        <v>18000</v>
      </c>
      <c r="H48" s="2">
        <v>233</v>
      </c>
      <c r="I48" s="2" t="s">
        <v>0</v>
      </c>
      <c r="J48" s="2" t="s">
        <v>24</v>
      </c>
    </row>
    <row r="49" spans="1:10" s="2" customFormat="1">
      <c r="A49" s="2" t="s">
        <v>76</v>
      </c>
      <c r="B49" s="2" t="s">
        <v>23</v>
      </c>
      <c r="C49" s="2" t="s">
        <v>16</v>
      </c>
      <c r="D49" s="2" t="s">
        <v>17</v>
      </c>
      <c r="E49" s="2">
        <v>4</v>
      </c>
      <c r="F49" s="2">
        <v>3</v>
      </c>
      <c r="G49" s="2">
        <v>25000</v>
      </c>
      <c r="H49" s="2">
        <v>2007</v>
      </c>
      <c r="I49" s="2" t="s">
        <v>1</v>
      </c>
      <c r="J49" s="2" t="s">
        <v>4</v>
      </c>
    </row>
    <row r="50" spans="1:10" s="2" customFormat="1">
      <c r="A50" s="2" t="s">
        <v>77</v>
      </c>
      <c r="B50" s="2" t="s">
        <v>45</v>
      </c>
      <c r="C50" s="2" t="s">
        <v>32</v>
      </c>
      <c r="D50" s="2" t="s">
        <v>30</v>
      </c>
      <c r="E50" s="2">
        <v>0</v>
      </c>
      <c r="F50" s="2">
        <v>3</v>
      </c>
      <c r="G50" s="2">
        <v>60000</v>
      </c>
      <c r="H50" s="2">
        <v>1005</v>
      </c>
      <c r="I50" s="2" t="s">
        <v>0</v>
      </c>
      <c r="J50" s="2" t="s">
        <v>4</v>
      </c>
    </row>
    <row r="51" spans="1:10" s="2" customFormat="1">
      <c r="A51" s="2" t="s">
        <v>78</v>
      </c>
      <c r="B51" s="2" t="s">
        <v>29</v>
      </c>
      <c r="C51" s="2" t="s">
        <v>37</v>
      </c>
      <c r="D51" s="2" t="s">
        <v>27</v>
      </c>
      <c r="E51" s="2">
        <v>2</v>
      </c>
      <c r="F51" s="2">
        <v>9</v>
      </c>
      <c r="G51" s="2">
        <v>45000</v>
      </c>
      <c r="H51" s="2">
        <v>157</v>
      </c>
      <c r="I51" s="2" t="s">
        <v>1</v>
      </c>
      <c r="J51" s="2" t="s">
        <v>24</v>
      </c>
    </row>
  </sheetData>
  <autoFilter ref="A1:J51" xr:uid="{00000000-0009-0000-0000-000007000000}"/>
  <pageMargins left="0.75" right="0.75" top="1" bottom="1" header="0.5" footer="0.5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7516-7A98-4024-AACD-427A3667BCA6}">
  <dimension ref="A1:L56"/>
  <sheetViews>
    <sheetView view="pageBreakPreview" topLeftCell="A28" zoomScale="81" zoomScaleNormal="74" zoomScaleSheetLayoutView="81" workbookViewId="0">
      <selection activeCell="K8" sqref="K8"/>
    </sheetView>
  </sheetViews>
  <sheetFormatPr defaultRowHeight="14.4"/>
  <cols>
    <col min="1" max="1" width="19.5546875" bestFit="1" customWidth="1"/>
    <col min="2" max="2" width="19.6640625" bestFit="1" customWidth="1"/>
    <col min="3" max="3" width="7.5546875" bestFit="1" customWidth="1"/>
    <col min="4" max="4" width="11.77734375" bestFit="1" customWidth="1"/>
    <col min="5" max="5" width="12.44140625" bestFit="1" customWidth="1"/>
    <col min="6" max="6" width="10.44140625" bestFit="1" customWidth="1"/>
    <col min="7" max="7" width="11.77734375" bestFit="1" customWidth="1"/>
    <col min="8" max="8" width="17.5546875" customWidth="1"/>
    <col min="9" max="9" width="11.44140625" bestFit="1" customWidth="1"/>
    <col min="10" max="10" width="15.6640625" customWidth="1"/>
    <col min="11" max="12" width="17.77734375" bestFit="1" customWidth="1"/>
    <col min="13" max="13" width="10.109375" customWidth="1"/>
  </cols>
  <sheetData>
    <row r="1" spans="1:12" ht="18">
      <c r="A1" s="34" t="s">
        <v>5</v>
      </c>
      <c r="B1" s="34" t="s">
        <v>6</v>
      </c>
      <c r="C1" s="34" t="s">
        <v>7</v>
      </c>
      <c r="D1" s="34" t="s">
        <v>8</v>
      </c>
      <c r="E1" s="34" t="s">
        <v>9</v>
      </c>
      <c r="F1" s="34" t="s">
        <v>10</v>
      </c>
      <c r="G1" s="34" t="s">
        <v>11</v>
      </c>
      <c r="H1" s="34" t="s">
        <v>12</v>
      </c>
      <c r="I1" s="34" t="s">
        <v>13</v>
      </c>
      <c r="J1" s="35" t="s">
        <v>2</v>
      </c>
    </row>
    <row r="2" spans="1:12">
      <c r="A2" s="36" t="s">
        <v>14</v>
      </c>
      <c r="B2" s="36" t="s">
        <v>15</v>
      </c>
      <c r="C2" s="36" t="s">
        <v>16</v>
      </c>
      <c r="D2" s="36" t="s">
        <v>17</v>
      </c>
      <c r="E2" s="36">
        <v>5</v>
      </c>
      <c r="F2" s="36">
        <v>2</v>
      </c>
      <c r="G2" s="36">
        <v>45000</v>
      </c>
      <c r="H2" s="14">
        <v>1504</v>
      </c>
      <c r="I2" s="36" t="s">
        <v>1</v>
      </c>
      <c r="J2" s="36" t="s">
        <v>3</v>
      </c>
    </row>
    <row r="3" spans="1:12">
      <c r="A3" s="36" t="s">
        <v>18</v>
      </c>
      <c r="B3" s="36" t="s">
        <v>19</v>
      </c>
      <c r="C3" s="36" t="s">
        <v>20</v>
      </c>
      <c r="D3" s="36" t="s">
        <v>17</v>
      </c>
      <c r="E3" s="36">
        <v>6</v>
      </c>
      <c r="F3" s="36">
        <v>4</v>
      </c>
      <c r="G3" s="36">
        <v>45000</v>
      </c>
      <c r="H3" s="14">
        <v>3418</v>
      </c>
      <c r="I3" s="36" t="s">
        <v>0</v>
      </c>
      <c r="J3" s="36" t="s">
        <v>21</v>
      </c>
    </row>
    <row r="4" spans="1:12">
      <c r="A4" s="36" t="s">
        <v>22</v>
      </c>
      <c r="B4" s="36" t="s">
        <v>23</v>
      </c>
      <c r="C4" s="36" t="s">
        <v>20</v>
      </c>
      <c r="D4" s="36" t="s">
        <v>17</v>
      </c>
      <c r="E4" s="36">
        <v>4</v>
      </c>
      <c r="F4" s="36">
        <v>5</v>
      </c>
      <c r="G4" s="36">
        <v>25000</v>
      </c>
      <c r="H4" s="14">
        <v>3162</v>
      </c>
      <c r="I4" s="36" t="s">
        <v>1</v>
      </c>
      <c r="J4" s="36" t="s">
        <v>24</v>
      </c>
    </row>
    <row r="5" spans="1:12">
      <c r="A5" s="36" t="s">
        <v>25</v>
      </c>
      <c r="B5" s="36" t="s">
        <v>19</v>
      </c>
      <c r="C5" s="36" t="s">
        <v>26</v>
      </c>
      <c r="D5" s="36" t="s">
        <v>27</v>
      </c>
      <c r="E5" s="36">
        <v>5</v>
      </c>
      <c r="F5" s="36">
        <v>8</v>
      </c>
      <c r="G5" s="36">
        <v>25000</v>
      </c>
      <c r="H5" s="14">
        <v>606</v>
      </c>
      <c r="I5" s="36" t="s">
        <v>0</v>
      </c>
      <c r="J5" s="36" t="s">
        <v>21</v>
      </c>
      <c r="K5" s="11"/>
      <c r="L5" s="11"/>
    </row>
    <row r="6" spans="1:12">
      <c r="A6" s="36" t="s">
        <v>28</v>
      </c>
      <c r="B6" s="36" t="s">
        <v>29</v>
      </c>
      <c r="C6" s="36" t="s">
        <v>16</v>
      </c>
      <c r="D6" s="36" t="s">
        <v>30</v>
      </c>
      <c r="E6" s="36">
        <v>3</v>
      </c>
      <c r="F6" s="36">
        <v>3</v>
      </c>
      <c r="G6" s="36">
        <v>25000</v>
      </c>
      <c r="H6" s="14">
        <v>551</v>
      </c>
      <c r="I6" s="36" t="s">
        <v>0</v>
      </c>
      <c r="J6" s="36" t="s">
        <v>21</v>
      </c>
      <c r="K6" s="11"/>
      <c r="L6" s="11"/>
    </row>
    <row r="7" spans="1:12">
      <c r="A7" s="36" t="s">
        <v>31</v>
      </c>
      <c r="B7" s="36" t="s">
        <v>29</v>
      </c>
      <c r="C7" s="36" t="s">
        <v>32</v>
      </c>
      <c r="D7" s="36" t="s">
        <v>17</v>
      </c>
      <c r="E7" s="36">
        <v>2</v>
      </c>
      <c r="F7" s="36">
        <v>4</v>
      </c>
      <c r="G7" s="36">
        <v>45000</v>
      </c>
      <c r="H7" s="14">
        <v>1341</v>
      </c>
      <c r="I7" s="36" t="s">
        <v>0</v>
      </c>
      <c r="J7" s="36" t="s">
        <v>4</v>
      </c>
      <c r="K7" s="11"/>
      <c r="L7" s="11"/>
    </row>
    <row r="8" spans="1:12">
      <c r="A8" s="36" t="s">
        <v>33</v>
      </c>
      <c r="B8" s="36" t="s">
        <v>15</v>
      </c>
      <c r="C8" s="36" t="s">
        <v>32</v>
      </c>
      <c r="D8" s="36" t="s">
        <v>30</v>
      </c>
      <c r="E8" s="36">
        <v>7</v>
      </c>
      <c r="F8" s="36">
        <v>7</v>
      </c>
      <c r="G8" s="36">
        <v>45000</v>
      </c>
      <c r="H8" s="14">
        <v>4574</v>
      </c>
      <c r="I8" s="36" t="s">
        <v>0</v>
      </c>
      <c r="J8" s="36" t="s">
        <v>3</v>
      </c>
      <c r="K8" s="11"/>
      <c r="L8" s="11"/>
    </row>
    <row r="9" spans="1:12">
      <c r="A9" s="36" t="s">
        <v>34</v>
      </c>
      <c r="B9" s="36" t="s">
        <v>23</v>
      </c>
      <c r="C9" s="36" t="s">
        <v>20</v>
      </c>
      <c r="D9" s="36" t="s">
        <v>17</v>
      </c>
      <c r="E9" s="36">
        <v>7</v>
      </c>
      <c r="F9" s="36">
        <v>6</v>
      </c>
      <c r="G9" s="36">
        <v>25000</v>
      </c>
      <c r="H9" s="14">
        <v>4615</v>
      </c>
      <c r="I9" s="36" t="s">
        <v>0</v>
      </c>
      <c r="J9" s="36" t="s">
        <v>21</v>
      </c>
      <c r="K9" s="11"/>
      <c r="L9" s="11"/>
    </row>
    <row r="10" spans="1:12">
      <c r="A10" s="36" t="s">
        <v>35</v>
      </c>
      <c r="B10" s="36" t="s">
        <v>29</v>
      </c>
      <c r="C10" s="36" t="s">
        <v>16</v>
      </c>
      <c r="D10" s="36" t="s">
        <v>30</v>
      </c>
      <c r="E10" s="36">
        <v>0</v>
      </c>
      <c r="F10" s="36">
        <v>9</v>
      </c>
      <c r="G10" s="36">
        <v>60000</v>
      </c>
      <c r="H10" s="14">
        <v>456</v>
      </c>
      <c r="I10" s="36" t="s">
        <v>0</v>
      </c>
      <c r="J10" s="36" t="s">
        <v>21</v>
      </c>
      <c r="K10" s="11"/>
      <c r="L10" s="11"/>
    </row>
    <row r="11" spans="1:12">
      <c r="A11" s="36" t="s">
        <v>36</v>
      </c>
      <c r="B11" s="36" t="s">
        <v>29</v>
      </c>
      <c r="C11" s="36" t="s">
        <v>37</v>
      </c>
      <c r="D11" s="36" t="s">
        <v>30</v>
      </c>
      <c r="E11" s="36">
        <v>5</v>
      </c>
      <c r="F11" s="36">
        <v>7</v>
      </c>
      <c r="G11" s="36">
        <v>18000</v>
      </c>
      <c r="H11" s="14">
        <v>4612</v>
      </c>
      <c r="I11" s="36" t="s">
        <v>0</v>
      </c>
      <c r="J11" s="36" t="s">
        <v>3</v>
      </c>
      <c r="K11" s="11"/>
      <c r="L11" s="11"/>
    </row>
    <row r="12" spans="1:12">
      <c r="A12" s="36" t="s">
        <v>38</v>
      </c>
      <c r="B12" s="36" t="s">
        <v>23</v>
      </c>
      <c r="C12" s="36" t="s">
        <v>26</v>
      </c>
      <c r="D12" s="36" t="s">
        <v>30</v>
      </c>
      <c r="E12" s="36">
        <v>6</v>
      </c>
      <c r="F12" s="36">
        <v>4</v>
      </c>
      <c r="G12" s="36">
        <v>60000</v>
      </c>
      <c r="H12" s="14">
        <v>4779</v>
      </c>
      <c r="I12" s="36" t="s">
        <v>0</v>
      </c>
      <c r="J12" s="36" t="s">
        <v>4</v>
      </c>
      <c r="K12" s="11"/>
      <c r="L12" s="11"/>
    </row>
    <row r="13" spans="1:12">
      <c r="A13" s="36" t="s">
        <v>39</v>
      </c>
      <c r="B13" s="36" t="s">
        <v>29</v>
      </c>
      <c r="C13" s="36" t="s">
        <v>20</v>
      </c>
      <c r="D13" s="36" t="s">
        <v>27</v>
      </c>
      <c r="E13" s="36">
        <v>1</v>
      </c>
      <c r="F13" s="36">
        <v>1</v>
      </c>
      <c r="G13" s="36">
        <v>60000</v>
      </c>
      <c r="H13" s="14">
        <v>759</v>
      </c>
      <c r="I13" s="36" t="s">
        <v>1</v>
      </c>
      <c r="J13" s="36" t="s">
        <v>4</v>
      </c>
      <c r="K13" s="11"/>
      <c r="L13" s="11"/>
    </row>
    <row r="14" spans="1:12">
      <c r="A14" s="36" t="s">
        <v>40</v>
      </c>
      <c r="B14" s="36" t="s">
        <v>15</v>
      </c>
      <c r="C14" s="36" t="s">
        <v>20</v>
      </c>
      <c r="D14" s="36" t="s">
        <v>17</v>
      </c>
      <c r="E14" s="36">
        <v>4</v>
      </c>
      <c r="F14" s="36">
        <v>4</v>
      </c>
      <c r="G14" s="36">
        <v>60000</v>
      </c>
      <c r="H14" s="14">
        <v>3345</v>
      </c>
      <c r="I14" s="36" t="s">
        <v>1</v>
      </c>
      <c r="J14" s="36" t="s">
        <v>21</v>
      </c>
      <c r="K14" s="11"/>
      <c r="L14" s="11"/>
    </row>
    <row r="15" spans="1:12">
      <c r="A15" s="36" t="s">
        <v>41</v>
      </c>
      <c r="B15" s="36" t="s">
        <v>15</v>
      </c>
      <c r="C15" s="36" t="s">
        <v>26</v>
      </c>
      <c r="D15" s="36" t="s">
        <v>27</v>
      </c>
      <c r="E15" s="36">
        <v>4</v>
      </c>
      <c r="F15" s="36">
        <v>9</v>
      </c>
      <c r="G15" s="36">
        <v>60000</v>
      </c>
      <c r="H15" s="14">
        <v>4560</v>
      </c>
      <c r="I15" s="36" t="s">
        <v>0</v>
      </c>
      <c r="J15" s="36" t="s">
        <v>24</v>
      </c>
      <c r="K15" s="11"/>
      <c r="L15" s="11"/>
    </row>
    <row r="16" spans="1:12">
      <c r="A16" s="36" t="s">
        <v>42</v>
      </c>
      <c r="B16" s="36" t="s">
        <v>15</v>
      </c>
      <c r="C16" s="36" t="s">
        <v>26</v>
      </c>
      <c r="D16" s="36" t="s">
        <v>27</v>
      </c>
      <c r="E16" s="36">
        <v>0</v>
      </c>
      <c r="F16" s="36">
        <v>6</v>
      </c>
      <c r="G16" s="36">
        <v>35000</v>
      </c>
      <c r="H16" s="14">
        <v>20</v>
      </c>
      <c r="I16" s="36" t="s">
        <v>1</v>
      </c>
      <c r="J16" s="36" t="s">
        <v>21</v>
      </c>
      <c r="K16" s="11"/>
      <c r="L16" s="11"/>
    </row>
    <row r="17" spans="1:12">
      <c r="A17" s="36" t="s">
        <v>43</v>
      </c>
      <c r="B17" s="36" t="s">
        <v>19</v>
      </c>
      <c r="C17" s="36" t="s">
        <v>32</v>
      </c>
      <c r="D17" s="36" t="s">
        <v>17</v>
      </c>
      <c r="E17" s="36">
        <v>4</v>
      </c>
      <c r="F17" s="36">
        <v>9</v>
      </c>
      <c r="G17" s="36">
        <v>25000</v>
      </c>
      <c r="H17" s="14">
        <v>2594</v>
      </c>
      <c r="I17" s="36" t="s">
        <v>0</v>
      </c>
      <c r="J17" s="36" t="s">
        <v>21</v>
      </c>
      <c r="K17" s="11"/>
      <c r="L17" s="11"/>
    </row>
    <row r="18" spans="1:12">
      <c r="A18" s="36" t="s">
        <v>44</v>
      </c>
      <c r="B18" s="36" t="s">
        <v>45</v>
      </c>
      <c r="C18" s="36" t="s">
        <v>32</v>
      </c>
      <c r="D18" s="36" t="s">
        <v>27</v>
      </c>
      <c r="E18" s="36">
        <v>5</v>
      </c>
      <c r="F18" s="36">
        <v>9</v>
      </c>
      <c r="G18" s="36">
        <v>25000</v>
      </c>
      <c r="H18" s="14">
        <v>4377</v>
      </c>
      <c r="I18" s="36" t="s">
        <v>0</v>
      </c>
      <c r="J18" s="36" t="s">
        <v>4</v>
      </c>
      <c r="K18" s="11"/>
      <c r="L18" s="11"/>
    </row>
    <row r="19" spans="1:12">
      <c r="A19" s="36" t="s">
        <v>46</v>
      </c>
      <c r="B19" s="36" t="s">
        <v>45</v>
      </c>
      <c r="C19" s="36" t="s">
        <v>32</v>
      </c>
      <c r="D19" s="36" t="s">
        <v>30</v>
      </c>
      <c r="E19" s="36">
        <v>5</v>
      </c>
      <c r="F19" s="36">
        <v>6</v>
      </c>
      <c r="G19" s="36">
        <v>45000</v>
      </c>
      <c r="H19" s="14">
        <v>3218</v>
      </c>
      <c r="I19" s="36" t="s">
        <v>0</v>
      </c>
      <c r="J19" s="36" t="s">
        <v>21</v>
      </c>
      <c r="K19" s="11"/>
      <c r="L19" s="11"/>
    </row>
    <row r="20" spans="1:12">
      <c r="A20" s="36" t="s">
        <v>47</v>
      </c>
      <c r="B20" s="36" t="s">
        <v>23</v>
      </c>
      <c r="C20" s="36" t="s">
        <v>37</v>
      </c>
      <c r="D20" s="36" t="s">
        <v>30</v>
      </c>
      <c r="E20" s="36">
        <v>3</v>
      </c>
      <c r="F20" s="36">
        <v>7</v>
      </c>
      <c r="G20" s="36">
        <v>25000</v>
      </c>
      <c r="H20" s="14">
        <v>519</v>
      </c>
      <c r="I20" s="36" t="s">
        <v>1</v>
      </c>
      <c r="J20" s="36" t="s">
        <v>3</v>
      </c>
      <c r="K20" s="11"/>
      <c r="L20" s="11"/>
    </row>
    <row r="21" spans="1:12">
      <c r="A21" s="36" t="s">
        <v>48</v>
      </c>
      <c r="B21" s="36" t="s">
        <v>15</v>
      </c>
      <c r="C21" s="36" t="s">
        <v>26</v>
      </c>
      <c r="D21" s="36" t="s">
        <v>30</v>
      </c>
      <c r="E21" s="36">
        <v>5</v>
      </c>
      <c r="F21" s="36">
        <v>5</v>
      </c>
      <c r="G21" s="36">
        <v>35000</v>
      </c>
      <c r="H21" s="14">
        <v>1273</v>
      </c>
      <c r="I21" s="36" t="s">
        <v>0</v>
      </c>
      <c r="J21" s="36" t="s">
        <v>3</v>
      </c>
      <c r="K21" s="11"/>
      <c r="L21" s="11"/>
    </row>
    <row r="22" spans="1:12">
      <c r="A22" s="36" t="s">
        <v>49</v>
      </c>
      <c r="B22" s="36" t="s">
        <v>23</v>
      </c>
      <c r="C22" s="36" t="s">
        <v>20</v>
      </c>
      <c r="D22" s="36" t="s">
        <v>17</v>
      </c>
      <c r="E22" s="36">
        <v>0</v>
      </c>
      <c r="F22" s="36">
        <v>10</v>
      </c>
      <c r="G22" s="36">
        <v>18000</v>
      </c>
      <c r="H22" s="14">
        <v>447</v>
      </c>
      <c r="I22" s="36" t="s">
        <v>1</v>
      </c>
      <c r="J22" s="36" t="s">
        <v>3</v>
      </c>
      <c r="K22" s="11"/>
      <c r="L22" s="11"/>
    </row>
    <row r="23" spans="1:12">
      <c r="A23" s="36" t="s">
        <v>50</v>
      </c>
      <c r="B23" s="36" t="s">
        <v>19</v>
      </c>
      <c r="C23" s="36" t="s">
        <v>26</v>
      </c>
      <c r="D23" s="36" t="s">
        <v>27</v>
      </c>
      <c r="E23" s="36">
        <v>1</v>
      </c>
      <c r="F23" s="36">
        <v>4</v>
      </c>
      <c r="G23" s="36">
        <v>25000</v>
      </c>
      <c r="H23" s="14">
        <v>24</v>
      </c>
      <c r="I23" s="36" t="s">
        <v>0</v>
      </c>
      <c r="J23" s="36" t="s">
        <v>4</v>
      </c>
      <c r="K23" s="11"/>
      <c r="L23" s="11"/>
    </row>
    <row r="24" spans="1:12">
      <c r="A24" s="36" t="s">
        <v>51</v>
      </c>
      <c r="B24" s="36" t="s">
        <v>23</v>
      </c>
      <c r="C24" s="36" t="s">
        <v>26</v>
      </c>
      <c r="D24" s="36" t="s">
        <v>30</v>
      </c>
      <c r="E24" s="36">
        <v>7</v>
      </c>
      <c r="F24" s="36">
        <v>6</v>
      </c>
      <c r="G24" s="36">
        <v>25000</v>
      </c>
      <c r="H24" s="14">
        <v>4720</v>
      </c>
      <c r="I24" s="36" t="s">
        <v>0</v>
      </c>
      <c r="J24" s="36" t="s">
        <v>24</v>
      </c>
      <c r="K24" s="11"/>
      <c r="L24" s="11"/>
    </row>
    <row r="25" spans="1:12">
      <c r="A25" s="36" t="s">
        <v>52</v>
      </c>
      <c r="B25" s="36" t="s">
        <v>29</v>
      </c>
      <c r="C25" s="36" t="s">
        <v>37</v>
      </c>
      <c r="D25" s="36" t="s">
        <v>17</v>
      </c>
      <c r="E25" s="36">
        <v>5</v>
      </c>
      <c r="F25" s="36">
        <v>6</v>
      </c>
      <c r="G25" s="36">
        <v>45000</v>
      </c>
      <c r="H25" s="14">
        <v>1453</v>
      </c>
      <c r="I25" s="36" t="s">
        <v>1</v>
      </c>
      <c r="J25" s="36" t="s">
        <v>21</v>
      </c>
      <c r="K25" s="11"/>
      <c r="L25" s="11"/>
    </row>
    <row r="26" spans="1:12">
      <c r="A26" s="36" t="s">
        <v>53</v>
      </c>
      <c r="B26" s="36" t="s">
        <v>23</v>
      </c>
      <c r="C26" s="36" t="s">
        <v>26</v>
      </c>
      <c r="D26" s="36" t="s">
        <v>30</v>
      </c>
      <c r="E26" s="36">
        <v>7</v>
      </c>
      <c r="F26" s="36">
        <v>7</v>
      </c>
      <c r="G26" s="36">
        <v>18000</v>
      </c>
      <c r="H26" s="14">
        <v>3437</v>
      </c>
      <c r="I26" s="36" t="s">
        <v>0</v>
      </c>
      <c r="J26" s="36" t="s">
        <v>24</v>
      </c>
      <c r="K26" s="11"/>
      <c r="L26" s="11"/>
    </row>
    <row r="27" spans="1:12">
      <c r="A27" s="36" t="s">
        <v>54</v>
      </c>
      <c r="B27" s="36" t="s">
        <v>15</v>
      </c>
      <c r="C27" s="36" t="s">
        <v>26</v>
      </c>
      <c r="D27" s="36" t="s">
        <v>17</v>
      </c>
      <c r="E27" s="36">
        <v>7</v>
      </c>
      <c r="F27" s="36">
        <v>6</v>
      </c>
      <c r="G27" s="36">
        <v>45000</v>
      </c>
      <c r="H27" s="14">
        <v>5283</v>
      </c>
      <c r="I27" s="36" t="s">
        <v>0</v>
      </c>
      <c r="J27" s="36" t="s">
        <v>4</v>
      </c>
      <c r="K27" s="11"/>
      <c r="L27" s="11"/>
    </row>
    <row r="28" spans="1:12">
      <c r="A28" s="36" t="s">
        <v>55</v>
      </c>
      <c r="B28" s="36" t="s">
        <v>29</v>
      </c>
      <c r="C28" s="36" t="s">
        <v>32</v>
      </c>
      <c r="D28" s="36" t="s">
        <v>27</v>
      </c>
      <c r="E28" s="36">
        <v>6</v>
      </c>
      <c r="F28" s="36">
        <v>7</v>
      </c>
      <c r="G28" s="36">
        <v>18000</v>
      </c>
      <c r="H28" s="14">
        <v>2945</v>
      </c>
      <c r="I28" s="36" t="s">
        <v>0</v>
      </c>
      <c r="J28" s="36" t="s">
        <v>21</v>
      </c>
      <c r="K28" s="11"/>
      <c r="L28" s="11"/>
    </row>
    <row r="29" spans="1:12">
      <c r="A29" s="36" t="s">
        <v>56</v>
      </c>
      <c r="B29" s="36" t="s">
        <v>15</v>
      </c>
      <c r="C29" s="36" t="s">
        <v>26</v>
      </c>
      <c r="D29" s="36" t="s">
        <v>30</v>
      </c>
      <c r="E29" s="36">
        <v>4</v>
      </c>
      <c r="F29" s="36">
        <v>10</v>
      </c>
      <c r="G29" s="36">
        <v>18000</v>
      </c>
      <c r="H29" s="14">
        <v>1331</v>
      </c>
      <c r="I29" s="36" t="s">
        <v>0</v>
      </c>
      <c r="J29" s="36" t="s">
        <v>4</v>
      </c>
      <c r="K29" s="11"/>
      <c r="L29" s="11"/>
    </row>
    <row r="30" spans="1:12">
      <c r="A30" s="36" t="s">
        <v>57</v>
      </c>
      <c r="B30" s="36" t="s">
        <v>23</v>
      </c>
      <c r="C30" s="36" t="s">
        <v>32</v>
      </c>
      <c r="D30" s="36" t="s">
        <v>17</v>
      </c>
      <c r="E30" s="36">
        <v>2</v>
      </c>
      <c r="F30" s="36">
        <v>6</v>
      </c>
      <c r="G30" s="36">
        <v>25000</v>
      </c>
      <c r="H30" s="14">
        <v>633</v>
      </c>
      <c r="I30" s="36" t="s">
        <v>0</v>
      </c>
      <c r="J30" s="36" t="s">
        <v>3</v>
      </c>
      <c r="K30" s="11"/>
      <c r="L30" s="11"/>
    </row>
    <row r="31" spans="1:12">
      <c r="A31" s="36" t="s">
        <v>58</v>
      </c>
      <c r="B31" s="36" t="s">
        <v>45</v>
      </c>
      <c r="C31" s="36" t="s">
        <v>32</v>
      </c>
      <c r="D31" s="36" t="s">
        <v>30</v>
      </c>
      <c r="E31" s="36">
        <v>7</v>
      </c>
      <c r="F31" s="36">
        <v>2</v>
      </c>
      <c r="G31" s="36">
        <v>35000</v>
      </c>
      <c r="H31" s="14">
        <v>3543</v>
      </c>
      <c r="I31" s="36" t="s">
        <v>0</v>
      </c>
      <c r="J31" s="36" t="s">
        <v>21</v>
      </c>
      <c r="K31" s="11"/>
      <c r="L31" s="11"/>
    </row>
    <row r="32" spans="1:12">
      <c r="A32" s="36" t="s">
        <v>59</v>
      </c>
      <c r="B32" s="36" t="s">
        <v>29</v>
      </c>
      <c r="C32" s="36" t="s">
        <v>16</v>
      </c>
      <c r="D32" s="36" t="s">
        <v>30</v>
      </c>
      <c r="E32" s="36">
        <v>3</v>
      </c>
      <c r="F32" s="36">
        <v>5</v>
      </c>
      <c r="G32" s="36">
        <v>35000</v>
      </c>
      <c r="H32" s="14">
        <v>485</v>
      </c>
      <c r="I32" s="36" t="s">
        <v>0</v>
      </c>
      <c r="J32" s="36" t="s">
        <v>4</v>
      </c>
      <c r="K32" s="11"/>
      <c r="L32" s="11"/>
    </row>
    <row r="33" spans="1:12">
      <c r="A33" s="36" t="s">
        <v>60</v>
      </c>
      <c r="B33" s="36" t="s">
        <v>19</v>
      </c>
      <c r="C33" s="36" t="s">
        <v>16</v>
      </c>
      <c r="D33" s="36" t="s">
        <v>17</v>
      </c>
      <c r="E33" s="36">
        <v>3</v>
      </c>
      <c r="F33" s="36">
        <v>3</v>
      </c>
      <c r="G33" s="36">
        <v>35000</v>
      </c>
      <c r="H33" s="14">
        <v>1169</v>
      </c>
      <c r="I33" s="36" t="s">
        <v>0</v>
      </c>
      <c r="J33" s="36" t="s">
        <v>24</v>
      </c>
      <c r="K33" s="11"/>
      <c r="L33" s="11"/>
    </row>
    <row r="34" spans="1:12">
      <c r="A34" s="36" t="s">
        <v>61</v>
      </c>
      <c r="B34" s="36" t="s">
        <v>45</v>
      </c>
      <c r="C34" s="36" t="s">
        <v>32</v>
      </c>
      <c r="D34" s="36" t="s">
        <v>27</v>
      </c>
      <c r="E34" s="36">
        <v>7</v>
      </c>
      <c r="F34" s="36">
        <v>8</v>
      </c>
      <c r="G34" s="36">
        <v>35000</v>
      </c>
      <c r="H34" s="14">
        <v>701</v>
      </c>
      <c r="I34" s="36" t="s">
        <v>0</v>
      </c>
      <c r="J34" s="36" t="s">
        <v>4</v>
      </c>
      <c r="K34" s="11"/>
      <c r="L34" s="11"/>
    </row>
    <row r="35" spans="1:12">
      <c r="A35" s="36" t="s">
        <v>62</v>
      </c>
      <c r="B35" s="36" t="s">
        <v>19</v>
      </c>
      <c r="C35" s="36" t="s">
        <v>20</v>
      </c>
      <c r="D35" s="36" t="s">
        <v>27</v>
      </c>
      <c r="E35" s="36">
        <v>2</v>
      </c>
      <c r="F35" s="36">
        <v>6</v>
      </c>
      <c r="G35" s="36">
        <v>35000</v>
      </c>
      <c r="H35" s="14">
        <v>307</v>
      </c>
      <c r="I35" s="36" t="s">
        <v>0</v>
      </c>
      <c r="J35" s="36" t="s">
        <v>21</v>
      </c>
      <c r="K35" s="11"/>
      <c r="L35" s="11"/>
    </row>
    <row r="36" spans="1:12">
      <c r="A36" s="36" t="s">
        <v>63</v>
      </c>
      <c r="B36" s="36" t="s">
        <v>29</v>
      </c>
      <c r="C36" s="36" t="s">
        <v>16</v>
      </c>
      <c r="D36" s="36" t="s">
        <v>17</v>
      </c>
      <c r="E36" s="36">
        <v>7</v>
      </c>
      <c r="F36" s="36">
        <v>2</v>
      </c>
      <c r="G36" s="36">
        <v>25000</v>
      </c>
      <c r="H36" s="14">
        <v>5003</v>
      </c>
      <c r="I36" s="36" t="s">
        <v>0</v>
      </c>
      <c r="J36" s="36" t="s">
        <v>24</v>
      </c>
      <c r="K36" s="11"/>
      <c r="L36" s="11"/>
    </row>
    <row r="37" spans="1:12">
      <c r="A37" s="36" t="s">
        <v>64</v>
      </c>
      <c r="B37" s="36" t="s">
        <v>29</v>
      </c>
      <c r="C37" s="36" t="s">
        <v>32</v>
      </c>
      <c r="D37" s="36" t="s">
        <v>17</v>
      </c>
      <c r="E37" s="36">
        <v>0</v>
      </c>
      <c r="F37" s="36">
        <v>4</v>
      </c>
      <c r="G37" s="36">
        <v>35000</v>
      </c>
      <c r="H37" s="14">
        <v>677</v>
      </c>
      <c r="I37" s="36" t="s">
        <v>1</v>
      </c>
      <c r="J37" s="36" t="s">
        <v>21</v>
      </c>
      <c r="K37" s="11"/>
      <c r="L37" s="11"/>
    </row>
    <row r="38" spans="1:12">
      <c r="A38" s="36" t="s">
        <v>65</v>
      </c>
      <c r="B38" s="36" t="s">
        <v>19</v>
      </c>
      <c r="C38" s="36" t="s">
        <v>16</v>
      </c>
      <c r="D38" s="36" t="s">
        <v>30</v>
      </c>
      <c r="E38" s="36">
        <v>4</v>
      </c>
      <c r="F38" s="36">
        <v>8</v>
      </c>
      <c r="G38" s="36">
        <v>45000</v>
      </c>
      <c r="H38" s="14">
        <v>5799</v>
      </c>
      <c r="I38" s="36" t="s">
        <v>0</v>
      </c>
      <c r="J38" s="36" t="s">
        <v>4</v>
      </c>
      <c r="K38" s="11"/>
      <c r="L38" s="11"/>
    </row>
    <row r="39" spans="1:12">
      <c r="A39" s="36" t="s">
        <v>66</v>
      </c>
      <c r="B39" s="36" t="s">
        <v>45</v>
      </c>
      <c r="C39" s="36" t="s">
        <v>20</v>
      </c>
      <c r="D39" s="36" t="s">
        <v>17</v>
      </c>
      <c r="E39" s="36">
        <v>7</v>
      </c>
      <c r="F39" s="36">
        <v>1</v>
      </c>
      <c r="G39" s="36">
        <v>18000</v>
      </c>
      <c r="H39" s="14">
        <v>5789</v>
      </c>
      <c r="I39" s="36" t="s">
        <v>0</v>
      </c>
      <c r="J39" s="36" t="s">
        <v>24</v>
      </c>
      <c r="K39" s="11"/>
      <c r="L39" s="11"/>
    </row>
    <row r="40" spans="1:12">
      <c r="A40" s="36" t="s">
        <v>67</v>
      </c>
      <c r="B40" s="36" t="s">
        <v>19</v>
      </c>
      <c r="C40" s="36" t="s">
        <v>20</v>
      </c>
      <c r="D40" s="36" t="s">
        <v>27</v>
      </c>
      <c r="E40" s="36">
        <v>0</v>
      </c>
      <c r="F40" s="36">
        <v>6</v>
      </c>
      <c r="G40" s="36">
        <v>18000</v>
      </c>
      <c r="H40" s="14">
        <v>701</v>
      </c>
      <c r="I40" s="36" t="s">
        <v>0</v>
      </c>
      <c r="J40" s="36" t="s">
        <v>24</v>
      </c>
      <c r="K40" s="11"/>
      <c r="L40" s="11"/>
    </row>
    <row r="41" spans="1:12">
      <c r="A41" s="36" t="s">
        <v>68</v>
      </c>
      <c r="B41" s="36" t="s">
        <v>23</v>
      </c>
      <c r="C41" s="36" t="s">
        <v>37</v>
      </c>
      <c r="D41" s="36" t="s">
        <v>27</v>
      </c>
      <c r="E41" s="36">
        <v>4</v>
      </c>
      <c r="F41" s="36">
        <v>1</v>
      </c>
      <c r="G41" s="36">
        <v>18000</v>
      </c>
      <c r="H41" s="14">
        <v>2591</v>
      </c>
      <c r="I41" s="36" t="s">
        <v>0</v>
      </c>
      <c r="J41" s="36" t="s">
        <v>21</v>
      </c>
      <c r="K41" s="11"/>
      <c r="L41" s="11"/>
    </row>
    <row r="42" spans="1:12">
      <c r="A42" s="36" t="s">
        <v>69</v>
      </c>
      <c r="B42" s="36" t="s">
        <v>23</v>
      </c>
      <c r="C42" s="36" t="s">
        <v>37</v>
      </c>
      <c r="D42" s="36" t="s">
        <v>17</v>
      </c>
      <c r="E42" s="36">
        <v>2</v>
      </c>
      <c r="F42" s="36">
        <v>5</v>
      </c>
      <c r="G42" s="36">
        <v>45000</v>
      </c>
      <c r="H42" s="14">
        <v>1451</v>
      </c>
      <c r="I42" s="36" t="s">
        <v>1</v>
      </c>
      <c r="J42" s="36" t="s">
        <v>21</v>
      </c>
      <c r="K42" s="11"/>
      <c r="L42" s="11"/>
    </row>
    <row r="43" spans="1:12">
      <c r="A43" s="36" t="s">
        <v>70</v>
      </c>
      <c r="B43" s="36" t="s">
        <v>29</v>
      </c>
      <c r="C43" s="36" t="s">
        <v>37</v>
      </c>
      <c r="D43" s="36" t="s">
        <v>17</v>
      </c>
      <c r="E43" s="36">
        <v>6</v>
      </c>
      <c r="F43" s="36">
        <v>3</v>
      </c>
      <c r="G43" s="36">
        <v>25000</v>
      </c>
      <c r="H43" s="14">
        <v>3566</v>
      </c>
      <c r="I43" s="36" t="s">
        <v>0</v>
      </c>
      <c r="J43" s="36" t="s">
        <v>24</v>
      </c>
      <c r="K43" s="11"/>
      <c r="L43" s="11"/>
    </row>
    <row r="44" spans="1:12">
      <c r="A44" s="36" t="s">
        <v>71</v>
      </c>
      <c r="B44" s="36" t="s">
        <v>45</v>
      </c>
      <c r="C44" s="36" t="s">
        <v>26</v>
      </c>
      <c r="D44" s="36" t="s">
        <v>17</v>
      </c>
      <c r="E44" s="36">
        <v>2</v>
      </c>
      <c r="F44" s="36">
        <v>2</v>
      </c>
      <c r="G44" s="36">
        <v>18000</v>
      </c>
      <c r="H44" s="14">
        <v>572</v>
      </c>
      <c r="I44" s="36" t="s">
        <v>0</v>
      </c>
      <c r="J44" s="36" t="s">
        <v>21</v>
      </c>
      <c r="K44" s="11"/>
      <c r="L44" s="11"/>
    </row>
    <row r="45" spans="1:12">
      <c r="A45" s="36" t="s">
        <v>72</v>
      </c>
      <c r="B45" s="36" t="s">
        <v>19</v>
      </c>
      <c r="C45" s="36" t="s">
        <v>20</v>
      </c>
      <c r="D45" s="36" t="s">
        <v>30</v>
      </c>
      <c r="E45" s="36">
        <v>5</v>
      </c>
      <c r="F45" s="36">
        <v>9</v>
      </c>
      <c r="G45" s="36">
        <v>35000</v>
      </c>
      <c r="H45" s="14">
        <v>1899</v>
      </c>
      <c r="I45" s="36" t="s">
        <v>1</v>
      </c>
      <c r="J45" s="36" t="s">
        <v>4</v>
      </c>
      <c r="K45" s="11"/>
      <c r="L45" s="11"/>
    </row>
    <row r="46" spans="1:12">
      <c r="A46" s="36" t="s">
        <v>73</v>
      </c>
      <c r="B46" s="36" t="s">
        <v>19</v>
      </c>
      <c r="C46" s="36" t="s">
        <v>16</v>
      </c>
      <c r="D46" s="36" t="s">
        <v>30</v>
      </c>
      <c r="E46" s="36">
        <v>5</v>
      </c>
      <c r="F46" s="36">
        <v>10</v>
      </c>
      <c r="G46" s="36">
        <v>18000</v>
      </c>
      <c r="H46" s="14">
        <v>5258</v>
      </c>
      <c r="I46" s="36" t="s">
        <v>1</v>
      </c>
      <c r="J46" s="36" t="s">
        <v>21</v>
      </c>
      <c r="K46" s="11"/>
      <c r="L46" s="11"/>
    </row>
    <row r="47" spans="1:12">
      <c r="A47" s="36" t="s">
        <v>74</v>
      </c>
      <c r="B47" s="36" t="s">
        <v>19</v>
      </c>
      <c r="C47" s="36" t="s">
        <v>37</v>
      </c>
      <c r="D47" s="36" t="s">
        <v>17</v>
      </c>
      <c r="E47" s="36">
        <v>4</v>
      </c>
      <c r="F47" s="36">
        <v>2</v>
      </c>
      <c r="G47" s="36">
        <v>35000</v>
      </c>
      <c r="H47" s="14">
        <v>1713</v>
      </c>
      <c r="I47" s="36" t="s">
        <v>0</v>
      </c>
      <c r="J47" s="36" t="s">
        <v>3</v>
      </c>
      <c r="K47" s="11"/>
      <c r="L47" s="11"/>
    </row>
    <row r="48" spans="1:12">
      <c r="A48" s="36" t="s">
        <v>75</v>
      </c>
      <c r="B48" s="36" t="s">
        <v>29</v>
      </c>
      <c r="C48" s="36" t="s">
        <v>37</v>
      </c>
      <c r="D48" s="36" t="s">
        <v>17</v>
      </c>
      <c r="E48" s="36">
        <v>2</v>
      </c>
      <c r="F48" s="36">
        <v>10</v>
      </c>
      <c r="G48" s="36">
        <v>18000</v>
      </c>
      <c r="H48" s="14">
        <v>233</v>
      </c>
      <c r="I48" s="36" t="s">
        <v>0</v>
      </c>
      <c r="J48" s="36" t="s">
        <v>24</v>
      </c>
      <c r="K48" s="11"/>
      <c r="L48" s="11"/>
    </row>
    <row r="49" spans="1:12">
      <c r="A49" s="36" t="s">
        <v>76</v>
      </c>
      <c r="B49" s="36" t="s">
        <v>23</v>
      </c>
      <c r="C49" s="36" t="s">
        <v>16</v>
      </c>
      <c r="D49" s="36" t="s">
        <v>17</v>
      </c>
      <c r="E49" s="36">
        <v>4</v>
      </c>
      <c r="F49" s="36">
        <v>3</v>
      </c>
      <c r="G49" s="36">
        <v>25000</v>
      </c>
      <c r="H49" s="14">
        <v>2007</v>
      </c>
      <c r="I49" s="36" t="s">
        <v>1</v>
      </c>
      <c r="J49" s="36" t="s">
        <v>4</v>
      </c>
      <c r="K49" s="11"/>
      <c r="L49" s="11"/>
    </row>
    <row r="50" spans="1:12">
      <c r="A50" s="36" t="s">
        <v>77</v>
      </c>
      <c r="B50" s="36" t="s">
        <v>45</v>
      </c>
      <c r="C50" s="36" t="s">
        <v>32</v>
      </c>
      <c r="D50" s="36" t="s">
        <v>30</v>
      </c>
      <c r="E50" s="36">
        <v>0</v>
      </c>
      <c r="F50" s="36">
        <v>3</v>
      </c>
      <c r="G50" s="36">
        <v>60000</v>
      </c>
      <c r="H50" s="14">
        <v>1005</v>
      </c>
      <c r="I50" s="36" t="s">
        <v>0</v>
      </c>
      <c r="J50" s="36" t="s">
        <v>4</v>
      </c>
      <c r="K50" s="11"/>
      <c r="L50" s="11"/>
    </row>
    <row r="51" spans="1:12">
      <c r="A51" s="36" t="s">
        <v>78</v>
      </c>
      <c r="B51" s="36" t="s">
        <v>29</v>
      </c>
      <c r="C51" s="36" t="s">
        <v>37</v>
      </c>
      <c r="D51" s="36" t="s">
        <v>27</v>
      </c>
      <c r="E51" s="36">
        <v>2</v>
      </c>
      <c r="F51" s="36">
        <v>9</v>
      </c>
      <c r="G51" s="36">
        <v>45000</v>
      </c>
      <c r="H51" s="14">
        <v>157</v>
      </c>
      <c r="I51" s="36" t="s">
        <v>1</v>
      </c>
      <c r="J51" s="36" t="s">
        <v>24</v>
      </c>
      <c r="K51" s="11"/>
      <c r="L51" s="11"/>
    </row>
    <row r="52" spans="1:12">
      <c r="A52" s="37"/>
      <c r="B52" s="37"/>
      <c r="C52" s="37"/>
      <c r="D52" s="37"/>
      <c r="E52" s="37"/>
      <c r="F52" s="37"/>
      <c r="G52" s="37"/>
      <c r="H52" s="37"/>
      <c r="I52" s="37"/>
      <c r="J52" s="37"/>
    </row>
    <row r="53" spans="1:12" ht="15.6">
      <c r="A53" s="38" t="s">
        <v>83</v>
      </c>
      <c r="B53" s="39" t="s">
        <v>79</v>
      </c>
      <c r="C53" s="37"/>
      <c r="D53" s="37"/>
      <c r="E53" s="37"/>
      <c r="F53" s="37"/>
      <c r="G53" s="37"/>
      <c r="H53" s="37"/>
      <c r="I53" s="37"/>
      <c r="J53" s="37"/>
    </row>
    <row r="54" spans="1:12">
      <c r="A54" s="40" t="s">
        <v>80</v>
      </c>
      <c r="B54" s="36">
        <f>COUNTIF(Raw_Data!A:A, Raw_Data!A2)</f>
        <v>1</v>
      </c>
      <c r="C54" s="37"/>
      <c r="D54" s="37"/>
      <c r="E54" s="37"/>
      <c r="F54" s="37"/>
      <c r="G54" s="37"/>
      <c r="H54" s="37"/>
      <c r="I54" s="37"/>
      <c r="J54" s="37"/>
    </row>
    <row r="55" spans="1:12">
      <c r="A55" s="40" t="s">
        <v>81</v>
      </c>
      <c r="B55" s="36">
        <f>COUNTBLANK(E2:E50)</f>
        <v>0</v>
      </c>
      <c r="C55" s="37"/>
      <c r="D55" s="37"/>
      <c r="E55" s="37"/>
      <c r="F55" s="37"/>
      <c r="G55" s="37"/>
      <c r="H55" s="37"/>
      <c r="I55" s="37"/>
      <c r="J55" s="37"/>
    </row>
    <row r="56" spans="1:12">
      <c r="A56" s="40" t="s">
        <v>82</v>
      </c>
      <c r="B56" s="36">
        <f>COUNTBLANK(F2:F50)</f>
        <v>0</v>
      </c>
      <c r="C56" s="37"/>
      <c r="D56" s="37"/>
      <c r="E56" s="37"/>
      <c r="F56" s="37"/>
      <c r="G56" s="37"/>
      <c r="H56" s="37"/>
      <c r="I56" s="37"/>
      <c r="J56" s="37"/>
    </row>
  </sheetData>
  <pageMargins left="0.7" right="0.7" top="0.75" bottom="0.75" header="0.3" footer="0.3"/>
  <pageSetup paperSize="9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09BE-BF76-4DB7-B094-A3DAA1B42B21}">
  <dimension ref="A1:AD29"/>
  <sheetViews>
    <sheetView view="pageBreakPreview" topLeftCell="H1" zoomScale="60" zoomScaleNormal="100" workbookViewId="0">
      <selection activeCell="M40" sqref="M40"/>
    </sheetView>
  </sheetViews>
  <sheetFormatPr defaultRowHeight="14.4"/>
  <cols>
    <col min="1" max="1" width="26.77734375" bestFit="1" customWidth="1"/>
    <col min="2" max="2" width="27.6640625" bestFit="1" customWidth="1"/>
    <col min="3" max="3" width="16.44140625" bestFit="1" customWidth="1"/>
    <col min="4" max="4" width="13.6640625" customWidth="1"/>
    <col min="5" max="5" width="22.109375" bestFit="1" customWidth="1"/>
    <col min="6" max="6" width="23.33203125" customWidth="1"/>
    <col min="7" max="7" width="19.77734375" bestFit="1" customWidth="1"/>
    <col min="8" max="8" width="21" customWidth="1"/>
    <col min="9" max="9" width="25.88671875" bestFit="1" customWidth="1"/>
    <col min="10" max="10" width="26.44140625" bestFit="1" customWidth="1"/>
    <col min="11" max="11" width="26.77734375" bestFit="1" customWidth="1"/>
    <col min="12" max="12" width="27.6640625" bestFit="1" customWidth="1"/>
    <col min="13" max="13" width="19.5546875" bestFit="1" customWidth="1"/>
    <col min="14" max="14" width="25.88671875" bestFit="1" customWidth="1"/>
    <col min="15" max="15" width="15.44140625" bestFit="1" customWidth="1"/>
    <col min="16" max="16" width="31.21875" bestFit="1" customWidth="1"/>
    <col min="17" max="17" width="26.44140625" bestFit="1" customWidth="1"/>
    <col min="19" max="19" width="18.44140625" bestFit="1" customWidth="1"/>
    <col min="20" max="20" width="26.44140625" bestFit="1" customWidth="1"/>
    <col min="21" max="21" width="14.88671875" customWidth="1"/>
    <col min="22" max="22" width="27" customWidth="1"/>
    <col min="23" max="23" width="11.6640625" customWidth="1"/>
    <col min="24" max="24" width="15" customWidth="1"/>
    <col min="25" max="26" width="12.21875" customWidth="1"/>
    <col min="27" max="27" width="10.88671875" customWidth="1"/>
    <col min="28" max="28" width="7.44140625" customWidth="1"/>
  </cols>
  <sheetData>
    <row r="1" spans="1:24" ht="18">
      <c r="A1" s="4" t="s">
        <v>84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94</v>
      </c>
      <c r="G1" s="16" t="s">
        <v>89</v>
      </c>
      <c r="H1" s="15" t="s">
        <v>90</v>
      </c>
      <c r="I1" s="4" t="s">
        <v>8</v>
      </c>
      <c r="J1" s="4" t="s">
        <v>89</v>
      </c>
      <c r="K1" s="4" t="s">
        <v>90</v>
      </c>
      <c r="L1" s="4" t="s">
        <v>95</v>
      </c>
      <c r="M1" s="15" t="s">
        <v>94</v>
      </c>
      <c r="N1" s="4" t="s">
        <v>95</v>
      </c>
      <c r="O1" s="6"/>
      <c r="P1" s="4" t="s">
        <v>96</v>
      </c>
    </row>
    <row r="2" spans="1:24">
      <c r="A2" s="2" t="s">
        <v>85</v>
      </c>
      <c r="B2" s="8">
        <f>AVERAGE(Raw_Data!E2:E50)</f>
        <v>3.9591836734693877</v>
      </c>
      <c r="C2" s="8">
        <f>AVERAGE(Raw_Data!F2:F50)</f>
        <v>5.5102040816326534</v>
      </c>
      <c r="D2" s="8">
        <f>AVERAGE(Raw_Data!G2:G50)</f>
        <v>33428.571428571428</v>
      </c>
      <c r="E2" s="8">
        <f>AVERAGE(Raw_Data!H2:H50)</f>
        <v>2347.4489795918366</v>
      </c>
      <c r="F2" s="2" t="s">
        <v>15</v>
      </c>
      <c r="G2" s="3">
        <f>SUMIF(Raw_Data!B2:B50,"Desktop",Raw_Data!F2:F50)</f>
        <v>49</v>
      </c>
      <c r="H2" s="10" cm="1">
        <f t="array" ref="H2">SUMPRODUCT((Raw_Data!J2:J50="Library")*(Raw_Data!F2:F50)*(Raw_Data!G2:G50))</f>
        <v>1281000</v>
      </c>
      <c r="I2" s="2" t="s">
        <v>30</v>
      </c>
      <c r="J2" s="2">
        <f>SUMIF(Raw_Data!D2:D50,"Good",Raw_Data!F2:F50)</f>
        <v>108</v>
      </c>
      <c r="K2" s="2" cm="1">
        <f t="array" ref="K2">SUMPRODUCT((Raw_Data!D2:D50="Good")*(Raw_Data!F2:F50)*(Raw_Data!G2:G50))</f>
        <v>3652000</v>
      </c>
      <c r="L2" s="2">
        <f>SUMIF(Raw_Data!D2:D50,"Good",Raw_Data!H2:H50)</f>
        <v>47459</v>
      </c>
      <c r="M2" s="10" t="s">
        <v>15</v>
      </c>
      <c r="N2" s="2">
        <f>SUMIF(Raw_Data!B2:B50,"Desktop",Raw_Data!H2:H50)</f>
        <v>21890</v>
      </c>
      <c r="O2" s="2"/>
      <c r="P2" s="2" t="s">
        <v>0</v>
      </c>
    </row>
    <row r="3" spans="1:24">
      <c r="A3" s="2" t="s">
        <v>86</v>
      </c>
      <c r="B3" s="2">
        <f>MEDIAN(Raw_Data!E2:E50)</f>
        <v>4</v>
      </c>
      <c r="C3" s="9">
        <f>MEDIAN(Raw_Data!F2:F50)</f>
        <v>6</v>
      </c>
      <c r="D3" s="2">
        <f>MEDIAN(Raw_Data!G2:G50)</f>
        <v>35000</v>
      </c>
      <c r="E3" s="2">
        <f>MEDIAN(Raw_Data!H2:H50)</f>
        <v>1713</v>
      </c>
      <c r="F3" s="2" t="s">
        <v>23</v>
      </c>
      <c r="G3" s="3">
        <f>SUMIF(Raw_Data!B2:B50,"Laptop",Raw_Data!F2:F50)</f>
        <v>60</v>
      </c>
      <c r="H3" s="10" cm="1">
        <f t="array" ref="H3">SUMPRODUCT((Raw_Data!J2:J50="Admin")*(Raw_Data!F2:F50)*(Raw_Data!G2:G50))</f>
        <v>3365000</v>
      </c>
      <c r="I3" s="2" t="s">
        <v>17</v>
      </c>
      <c r="J3" s="2">
        <f>SUMIF(Raw_Data!D2:D50,"Fair",Raw_Data!F2:F50)</f>
        <v>97</v>
      </c>
      <c r="K3" s="2" cm="1">
        <f t="array" ref="K3">SUMPRODUCT((Raw_Data!D2:D50="Fair")*(Raw_Data!F2:F50)*(Raw_Data!G2:G50))</f>
        <v>3034000</v>
      </c>
      <c r="L3" s="2">
        <f>SUMIF(Raw_Data!D2:D50,"Fair",Raw_Data!H2:H50)</f>
        <v>49975</v>
      </c>
      <c r="M3" s="10" t="s">
        <v>23</v>
      </c>
      <c r="N3" s="2">
        <f>SUMIF(Raw_Data!B2:B50,"Laptop",Raw_Data!H2:H50)</f>
        <v>28361</v>
      </c>
      <c r="O3" s="2"/>
      <c r="P3" s="2" t="s">
        <v>1</v>
      </c>
    </row>
    <row r="4" spans="1:24">
      <c r="A4" s="2" t="s">
        <v>87</v>
      </c>
      <c r="B4" s="2">
        <f>MIN(Raw_Data!E2:E50)</f>
        <v>0</v>
      </c>
      <c r="C4" s="2">
        <f>MIN(Raw_Data!F2:F50)</f>
        <v>1</v>
      </c>
      <c r="D4" s="2">
        <f>MIN(Raw_Data!G2:G50)</f>
        <v>18000</v>
      </c>
      <c r="E4" s="2">
        <f>MIN(Raw_Data!H2:H50)</f>
        <v>20</v>
      </c>
      <c r="F4" s="2" t="s">
        <v>45</v>
      </c>
      <c r="G4" s="3">
        <f>SUMIF(Raw_Data!B2:B50,"Printer",Raw_Data!F2:F50)</f>
        <v>31</v>
      </c>
      <c r="H4" s="10" cm="1">
        <f t="array" ref="H4">SUMPRODUCT((Raw_Data!J2:J50="Faculty")*(Raw_Data!F2:F50)*(Raw_Data!G2:G50))</f>
        <v>1477000</v>
      </c>
      <c r="I4" s="2" t="s">
        <v>27</v>
      </c>
      <c r="J4" s="2">
        <f>SUMIF(Raw_Data!D2:D50,"Needs Repair",Raw_Data!F2:F50)</f>
        <v>65</v>
      </c>
      <c r="K4" s="2" cm="1">
        <f t="array" ref="K4">SUMPRODUCT((Raw_Data!D2:D50="Needs Repair")*(Raw_Data!F2:F50)*(Raw_Data!G2:G50))</f>
        <v>2077000</v>
      </c>
      <c r="L4" s="2">
        <f>SUMIF(Raw_Data!D2:D50,"Needs Repair",Raw_Data!H2:H50)</f>
        <v>17591</v>
      </c>
      <c r="M4" s="10" t="s">
        <v>45</v>
      </c>
      <c r="N4" s="2">
        <f>SUMIF(Raw_Data!B2:B50,"Printer",Raw_Data!H2:H50)</f>
        <v>19205</v>
      </c>
      <c r="O4" s="2"/>
      <c r="P4" s="2"/>
    </row>
    <row r="5" spans="1:24">
      <c r="A5" s="2" t="s">
        <v>88</v>
      </c>
      <c r="B5" s="2">
        <f>MAX(Raw_Data!E2:E50)</f>
        <v>7</v>
      </c>
      <c r="C5" s="2">
        <f>MAX(Raw_Data!F2:F50)</f>
        <v>10</v>
      </c>
      <c r="D5" s="2">
        <f>MAX(Raw_Data!G2:G50)</f>
        <v>60000</v>
      </c>
      <c r="E5" s="2">
        <f>MAX(Raw_Data!H2:H50)</f>
        <v>5799</v>
      </c>
      <c r="F5" s="2" t="s">
        <v>29</v>
      </c>
      <c r="G5" s="3">
        <f>SUMIF(Raw_Data!B2:B50,"Router",Raw_Data!F2:F50)</f>
        <v>61</v>
      </c>
      <c r="H5" s="10" cm="1">
        <f t="array" ref="H5">SUMPRODUCT((Raw_Data!J2:J50="IT")*(Raw_Data!F2:F50)*(Raw_Data!G2:G50))</f>
        <v>2640000</v>
      </c>
      <c r="I5" s="2"/>
      <c r="J5" s="2"/>
      <c r="K5" s="2"/>
      <c r="L5" s="2"/>
      <c r="M5" s="10" t="s">
        <v>29</v>
      </c>
      <c r="N5" s="2">
        <f>SUMIF(Raw_Data!B2:B50,"Router",Raw_Data!H2:H50)</f>
        <v>22081</v>
      </c>
      <c r="O5" s="2"/>
      <c r="P5" s="2"/>
    </row>
    <row r="6" spans="1:24">
      <c r="A6" s="2"/>
      <c r="B6" s="2"/>
      <c r="C6" s="2"/>
      <c r="D6" s="2"/>
      <c r="E6" s="2"/>
      <c r="F6" s="2" t="s">
        <v>19</v>
      </c>
      <c r="G6" s="3">
        <f>SUMIF(Raw_Data!B2:B50,"Projector",Raw_Data!F2:F50)</f>
        <v>69</v>
      </c>
      <c r="H6" s="10"/>
      <c r="I6" s="2"/>
      <c r="J6" s="2"/>
      <c r="K6" s="2"/>
      <c r="L6" s="2"/>
      <c r="M6" s="10" t="s">
        <v>19</v>
      </c>
      <c r="N6" s="2">
        <f>SUMIF(Raw_Data!B2:B50,"Projector",Raw_Data!H2:H50)</f>
        <v>23488</v>
      </c>
      <c r="O6" s="2"/>
      <c r="P6" s="2"/>
    </row>
    <row r="7" spans="1:24">
      <c r="A7" s="2"/>
      <c r="B7" s="2"/>
      <c r="C7" s="12"/>
      <c r="D7" s="2"/>
      <c r="E7" s="2"/>
      <c r="F7" s="2"/>
      <c r="G7" s="3"/>
      <c r="H7" s="10"/>
      <c r="I7" s="2"/>
      <c r="J7" s="2"/>
      <c r="K7" s="2"/>
      <c r="L7" s="2"/>
      <c r="M7" s="10"/>
      <c r="N7" s="2"/>
      <c r="O7" s="2"/>
      <c r="P7" s="2"/>
    </row>
    <row r="8" spans="1:24" ht="18">
      <c r="A8" s="4" t="s">
        <v>84</v>
      </c>
      <c r="B8" s="4" t="s">
        <v>79</v>
      </c>
      <c r="C8" s="29"/>
      <c r="D8" s="21" t="s">
        <v>98</v>
      </c>
      <c r="E8" s="21"/>
      <c r="F8" s="21"/>
      <c r="G8" s="17"/>
      <c r="H8" s="23" t="s">
        <v>8</v>
      </c>
      <c r="I8" s="6" t="s">
        <v>102</v>
      </c>
      <c r="J8" s="6"/>
      <c r="K8" s="7" t="s">
        <v>2</v>
      </c>
      <c r="L8" s="6" t="s">
        <v>15</v>
      </c>
      <c r="M8" s="24" t="s">
        <v>23</v>
      </c>
      <c r="N8" s="6" t="s">
        <v>45</v>
      </c>
      <c r="O8" s="6" t="s">
        <v>19</v>
      </c>
      <c r="P8" s="6" t="s">
        <v>29</v>
      </c>
      <c r="W8" s="11"/>
      <c r="X8" s="11"/>
    </row>
    <row r="9" spans="1:24">
      <c r="A9" s="2" t="s">
        <v>89</v>
      </c>
      <c r="B9" s="13">
        <f>SUM(Raw_Data!F2:F50)</f>
        <v>270</v>
      </c>
      <c r="C9" s="25" t="s">
        <v>5</v>
      </c>
      <c r="D9" s="26" t="s">
        <v>6</v>
      </c>
      <c r="E9" s="26" t="s">
        <v>2</v>
      </c>
      <c r="F9" s="27" t="s">
        <v>99</v>
      </c>
      <c r="G9" s="13"/>
      <c r="H9" s="10" t="s">
        <v>30</v>
      </c>
      <c r="I9" s="2">
        <f>COUNTIF(D$2:D$51, "Good")</f>
        <v>0</v>
      </c>
      <c r="J9" s="2"/>
      <c r="K9" s="2" t="s">
        <v>21</v>
      </c>
      <c r="L9" s="2">
        <f>SUMIFS(Raw_Data!F$2:F$51, Raw_Data!B$2:B$51, "Desktop", Raw_Data!J$2:J$51, "Admin")</f>
        <v>10</v>
      </c>
      <c r="M9" s="2">
        <f>SUMIFS(Raw_Data!F$2:F$51, Raw_Data!B$2:B$51, "Laptop", Raw_Data!J$2:J$51, "Admin")</f>
        <v>12</v>
      </c>
      <c r="N9" s="2">
        <f>SUMIFS(Raw_Data!F$2:F$51, Raw_Data!B$2:B$51, "Printer", Raw_Data!J$2:J$51, "Admin")</f>
        <v>10</v>
      </c>
      <c r="O9" s="2">
        <f>SUMIFS(Raw_Data!F$2:F$51, Raw_Data!B$2:B$51, "Projector", Raw_Data!J$2:J$51, "Admin")</f>
        <v>37</v>
      </c>
      <c r="P9" s="2">
        <f>SUMIFS(Raw_Data!F$2:F$51, Raw_Data!B$2:B$51, "Router", Raw_Data!J$2:J$51, "Admin")</f>
        <v>29</v>
      </c>
      <c r="W9" s="11"/>
      <c r="X9" s="11"/>
    </row>
    <row r="10" spans="1:24">
      <c r="A10" s="2" t="s">
        <v>90</v>
      </c>
      <c r="B10" s="13">
        <f>SUMPRODUCT(Raw_Data!F2:F50, Raw_Data!G2:G50)</f>
        <v>8763000</v>
      </c>
      <c r="C10" s="28" t="str">
        <f>INDEX(Raw_Data!A2:A50, MATCH(LARGE(Raw_Data!H2:H50,1), Raw_Data!H2:H50,0))</f>
        <v>A8036</v>
      </c>
      <c r="D10" s="13" t="str">
        <f>INDEX(Raw_Data!B2:B50, MATCH(LARGE(Raw_Data!H2:H50,1), Raw_Data!H2:H50,0))</f>
        <v>Projector</v>
      </c>
      <c r="E10" s="13" t="str">
        <f>INDEX(Raw_Data!J2:J50, MATCH(LARGE(Raw_Data!H2:H50,1), Raw_Data!H2:H50,0))</f>
        <v>IT</v>
      </c>
      <c r="F10" s="22">
        <f>LARGE(Raw_Data!H2:H50,1)</f>
        <v>5799</v>
      </c>
      <c r="G10" s="13"/>
      <c r="H10" s="10" t="s">
        <v>17</v>
      </c>
      <c r="I10" s="2">
        <f>COUNTIF(D$2:D$51, "Fair")</f>
        <v>0</v>
      </c>
      <c r="J10" s="2"/>
      <c r="K10" s="2" t="s">
        <v>24</v>
      </c>
      <c r="L10" s="2">
        <f>SUMIFS(Raw_Data!F$2:F$51, Raw_Data!B$2:B$51, "Desktop", Raw_Data!J$2:J$51, "Faculty")</f>
        <v>9</v>
      </c>
      <c r="M10" s="2">
        <f>SUMIFS(Raw_Data!F$2:F$51, Raw_Data!B$2:B$51, "Laptop", Raw_Data!J$2:J$51, "Faculty")</f>
        <v>18</v>
      </c>
      <c r="N10" s="2">
        <f>SUMIFS(Raw_Data!F$2:F$51, Raw_Data!B$2:B$51, "Printer", Raw_Data!J$2:J$51, "Faculty")</f>
        <v>1</v>
      </c>
      <c r="O10" s="2">
        <f>SUMIFS(Raw_Data!F$2:F$51, Raw_Data!B$2:B$51, "Projector", Raw_Data!J$2:J$51, "Faculty")</f>
        <v>9</v>
      </c>
      <c r="P10" s="2">
        <f>SUMIFS(Raw_Data!F$2:F$51, Raw_Data!B$2:B$51, "Router", Raw_Data!J$2:J$51, "Faculty")</f>
        <v>24</v>
      </c>
      <c r="W10" s="11"/>
      <c r="X10" s="11"/>
    </row>
    <row r="11" spans="1:24">
      <c r="A11" s="2"/>
      <c r="B11" s="3"/>
      <c r="C11" s="2"/>
      <c r="D11" s="10"/>
      <c r="E11" s="2"/>
      <c r="F11" s="2"/>
      <c r="G11" s="3"/>
      <c r="H11" s="10" t="s">
        <v>27</v>
      </c>
      <c r="I11" s="2">
        <v>12</v>
      </c>
      <c r="J11" s="2"/>
      <c r="K11" s="2" t="s">
        <v>4</v>
      </c>
      <c r="L11" s="2">
        <f>SUMIFS(Raw_Data!F$2:F$51, Raw_Data!B$2:B$51, "Desktop", Raw_Data!J$2:J$51, "IT")</f>
        <v>16</v>
      </c>
      <c r="M11" s="2">
        <f>SUMIFS(Raw_Data!F$2:F$51, Raw_Data!B$2:B$51, "Laptop", Raw_Data!J$2:J$51, "IT")</f>
        <v>7</v>
      </c>
      <c r="N11" s="2">
        <f>SUMIFS(Raw_Data!F$2:F$51, Raw_Data!B$2:B$51, "Printer", Raw_Data!J$2:J$51, "IT")</f>
        <v>20</v>
      </c>
      <c r="O11" s="2">
        <f>SUMIFS(Raw_Data!F$2:F$51, Raw_Data!B$2:B$51, "Projector", Raw_Data!J$2:J$51, "IT")</f>
        <v>21</v>
      </c>
      <c r="P11" s="2">
        <f>SUMIFS(Raw_Data!F$2:F$51, Raw_Data!B$2:B$51, "Router", Raw_Data!J$2:J$51, "IT")</f>
        <v>10</v>
      </c>
      <c r="W11" s="11"/>
      <c r="X11" s="11"/>
    </row>
    <row r="12" spans="1:24">
      <c r="A12" s="2"/>
      <c r="B12" s="3"/>
      <c r="C12" s="2"/>
      <c r="D12" s="10"/>
      <c r="E12" s="2"/>
      <c r="F12" s="2"/>
      <c r="G12" s="3"/>
      <c r="H12" s="10"/>
      <c r="I12" s="2"/>
      <c r="J12" s="2"/>
      <c r="K12" s="2" t="s">
        <v>3</v>
      </c>
      <c r="L12" s="2">
        <f>SUMIFS(Raw_Data!F$2:F$51, Raw_Data!B$2:B$51, "Desktop", Raw_Data!J$2:J$51, "Library")</f>
        <v>14</v>
      </c>
      <c r="M12" s="2">
        <f>SUMIFS(Raw_Data!F$2:F$51, Raw_Data!B$2:B$51, "Laptop", Raw_Data!J$2:J$51, "Library")</f>
        <v>23</v>
      </c>
      <c r="N12" s="2">
        <f>SUMIFS(Raw_Data!F$2:F$51, Raw_Data!B$2:B$51, "Printer", Raw_Data!J$2:J$51, "Library")</f>
        <v>0</v>
      </c>
      <c r="O12" s="2">
        <f>SUMIFS(Raw_Data!F$2:F$51, Raw_Data!B$2:B$51, "Projector", Raw_Data!J$2:J$51, "Library")</f>
        <v>2</v>
      </c>
      <c r="P12" s="2">
        <f>SUMIFS(Raw_Data!F$2:F$51, Raw_Data!B$2:B$51, "Router", Raw_Data!J$2:J$51, "Library")</f>
        <v>7</v>
      </c>
      <c r="W12" s="11"/>
      <c r="X12" s="11"/>
    </row>
    <row r="13" spans="1:24">
      <c r="A13" s="2"/>
      <c r="B13" s="3"/>
      <c r="C13" s="2"/>
      <c r="D13" s="10"/>
      <c r="E13" s="2"/>
      <c r="F13" s="2"/>
      <c r="G13" s="3"/>
      <c r="H13" s="10"/>
      <c r="I13" s="2"/>
      <c r="J13" s="2"/>
      <c r="K13" s="2" t="s">
        <v>109</v>
      </c>
      <c r="L13" s="2">
        <f>SUMIF(Raw_Data!B$2:B$51, "Desktop", Raw_Data!F$2:F$51)</f>
        <v>49</v>
      </c>
      <c r="M13" s="2">
        <f>SUMIF(Raw_Data!B$2:B$51, "Laptop", Raw_Data!F$2:F$51)</f>
        <v>60</v>
      </c>
      <c r="N13" s="2">
        <f>SUMIF(Raw_Data!B$2:B$51, "Printer", Raw_Data!F$2:F$51)</f>
        <v>31</v>
      </c>
      <c r="O13" s="2">
        <f>SUMIF(Raw_Data!B$2:B$51, "Projector", Raw_Data!F$2:F$51)</f>
        <v>69</v>
      </c>
      <c r="P13" s="2">
        <f>SUMIF(Raw_Data!B$2:B$51, "Router", Raw_Data!F$2:F$51)</f>
        <v>70</v>
      </c>
      <c r="W13" s="11"/>
      <c r="X13" s="11"/>
    </row>
    <row r="17" spans="1:16" ht="18">
      <c r="A17" s="15" t="s">
        <v>90</v>
      </c>
      <c r="B17" s="16" t="s">
        <v>95</v>
      </c>
      <c r="C17" s="18" t="s">
        <v>2</v>
      </c>
      <c r="D17" s="4" t="s">
        <v>89</v>
      </c>
    </row>
    <row r="18" spans="1:16">
      <c r="A18" s="10" cm="1">
        <f t="array" ref="A18">SUMPRODUCT((Raw_Data!B2:B50="Desktop")*(Raw_Data!F2:F50)*(Raw_Data!G2:G50))</f>
        <v>2020000</v>
      </c>
      <c r="B18" s="3">
        <f>SUMIF(Raw_Data!B2:B50,"Desktop",Raw_Data!H2:H50)</f>
        <v>21890</v>
      </c>
      <c r="C18" s="10" t="s">
        <v>3</v>
      </c>
      <c r="D18" s="2">
        <f>SUMIF(Raw_Data!J2:J50,"Library",Raw_Data!F2:F50)</f>
        <v>46</v>
      </c>
    </row>
    <row r="19" spans="1:16" ht="18">
      <c r="A19" s="10" cm="1">
        <f t="array" ref="A19">SUMPRODUCT((Raw_Data!B2:B50="Laptop")*(Raw_Data!F2:F50)*(Raw_Data!G2:G50))</f>
        <v>1614000</v>
      </c>
      <c r="B19" s="3">
        <f>SUMIF(Raw_Data!B2:B50,"Laptop",Raw_Data!H2:H50)</f>
        <v>28361</v>
      </c>
      <c r="C19" s="10" t="s">
        <v>21</v>
      </c>
      <c r="D19" s="2">
        <f>SUMIF(Raw_Data!J2:J50,"Admin",Raw_Data!F2:F50)</f>
        <v>98</v>
      </c>
      <c r="P19" s="4" t="s">
        <v>97</v>
      </c>
    </row>
    <row r="20" spans="1:16">
      <c r="A20" s="10" cm="1">
        <f t="array" ref="A20">SUMPRODUCT((Raw_Data!B2:B50="Printer")*(Raw_Data!F2:F50)*(Raw_Data!G2:G50))</f>
        <v>1079000</v>
      </c>
      <c r="B20" s="3">
        <f>SUMIF(Raw_Data!B2:B50,"Printer",Raw_Data!H2:H50)</f>
        <v>19205</v>
      </c>
      <c r="C20" s="10" t="s">
        <v>24</v>
      </c>
      <c r="D20" s="2">
        <f>SUMIF(Raw_Data!J2:J50,"Faculty",Raw_Data!F2:F50)</f>
        <v>52</v>
      </c>
      <c r="P20" s="8">
        <f>AVERAGEIF(Raw_Data!I2:I50,"Yes",Raw_Data!H2:H50)</f>
        <v>2570.1111111111113</v>
      </c>
    </row>
    <row r="21" spans="1:16">
      <c r="A21" s="10" cm="1">
        <f t="array" ref="A21">SUMPRODUCT((Raw_Data!B2:B50="Router")*(Raw_Data!F2:F50)*(Raw_Data!G2:G50))</f>
        <v>1997000</v>
      </c>
      <c r="B21" s="3">
        <f>SUMIF(Raw_Data!B2:B50,"Router",Raw_Data!H2:H50)</f>
        <v>22081</v>
      </c>
      <c r="C21" s="20" t="s">
        <v>4</v>
      </c>
      <c r="D21" s="2">
        <f>SUMIF(Raw_Data!J2:J50,"IT",Raw_Data!F2:F50)</f>
        <v>74</v>
      </c>
      <c r="P21" s="8">
        <f>AVERAGEIF(Raw_Data!I2:I50,"No",Raw_Data!H2:H50)</f>
        <v>1730.8461538461538</v>
      </c>
    </row>
    <row r="22" spans="1:16">
      <c r="A22" s="10" cm="1">
        <f t="array" ref="A22">SUMPRODUCT((Raw_Data!B2:B50="Projector")*(Raw_Data!F2:F50)*(Raw_Data!G2:G50))</f>
        <v>2053000</v>
      </c>
      <c r="B22" s="3">
        <f>SUMIF(Raw_Data!B2:B50,"Projector",Raw_Data!H2:H50)</f>
        <v>23488</v>
      </c>
      <c r="C22" s="2"/>
      <c r="D22" s="2"/>
    </row>
    <row r="23" spans="1:16">
      <c r="A23" s="10"/>
      <c r="B23" s="3"/>
      <c r="C23" s="2"/>
      <c r="D23" s="2"/>
    </row>
    <row r="24" spans="1:16" ht="18">
      <c r="A24" s="15" t="s">
        <v>100</v>
      </c>
      <c r="B24" s="4" t="s">
        <v>101</v>
      </c>
      <c r="C24" s="19" t="s">
        <v>102</v>
      </c>
      <c r="D24" s="4" t="s">
        <v>89</v>
      </c>
    </row>
    <row r="25" spans="1:16">
      <c r="A25" s="10" t="s">
        <v>103</v>
      </c>
      <c r="B25" s="2" t="s">
        <v>104</v>
      </c>
      <c r="C25" s="2">
        <f>COUNTIF(Raw_Data!D2:D51, "Needs Repair")</f>
        <v>12</v>
      </c>
      <c r="D25" s="2">
        <f>SUMIF('Cleaned Data'!D2:D51, "Needs Repair", 'Cleaned Data'!F2:F51)</f>
        <v>74</v>
      </c>
    </row>
    <row r="26" spans="1:16">
      <c r="A26" s="10" t="s">
        <v>105</v>
      </c>
      <c r="B26" s="2" t="s">
        <v>106</v>
      </c>
      <c r="C26" s="2">
        <f>COUNTIFS(Raw_Data!E2:E51, "&gt;=5", Raw_Data!D2:D51, "Fair")</f>
        <v>8</v>
      </c>
      <c r="D26" s="2">
        <f>SUMIFS('Cleaned Data'!F2:F51, 'Cleaned Data'!E2:E51, "&gt;=5", 'Cleaned Data'!D2:D51, "Fair")</f>
        <v>30</v>
      </c>
    </row>
    <row r="27" spans="1:16">
      <c r="A27" s="10" t="s">
        <v>107</v>
      </c>
      <c r="B27" s="2" t="s">
        <v>108</v>
      </c>
      <c r="C27" s="2">
        <f>COUNTIFS('Cleaned Data'!D2:D51, "&lt;&gt;Needs Repair", 'Cleaned Data'!E2:E51, "&lt;5") + COUNTIFS('Cleaned Data'!D2:D51, "Good", 'Cleaned Data'!E2:E51, "&gt;=5")</f>
        <v>30</v>
      </c>
      <c r="D27" s="2">
        <f>SUMIFS('Cleaned Data'!F2:F51, 'Cleaned Data'!D2:D51, "&lt;&gt;Needs Repair", 'Cleaned Data'!E2:E51, "&lt;5") + SUMIFS('Cleaned Data'!F2:F51, 'Cleaned Data'!D2:D51, "Good", 'Cleaned Data'!E2:E51, "&gt;=5")</f>
        <v>175</v>
      </c>
    </row>
    <row r="28" spans="1:16">
      <c r="A28" s="10" t="s">
        <v>109</v>
      </c>
      <c r="B28" s="2" t="s">
        <v>110</v>
      </c>
      <c r="C28" s="2">
        <f>SUM(C25:C27)</f>
        <v>50</v>
      </c>
      <c r="D28" s="2">
        <f>SUM(D25:D27)</f>
        <v>279</v>
      </c>
    </row>
    <row r="29" spans="1:16">
      <c r="A29" s="10"/>
      <c r="B29" s="2"/>
      <c r="C29" s="2"/>
      <c r="D29" s="2"/>
    </row>
  </sheetData>
  <pageMargins left="0.7" right="0.7" top="0.75" bottom="0.75" header="0.3" footer="0.3"/>
  <pageSetup paperSize="9" scale="58" orientation="landscape" r:id="rId1"/>
  <colBreaks count="2" manualBreakCount="2">
    <brk id="7" max="32" man="1"/>
    <brk id="16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CBE5-24BA-48FB-95CE-9C7A06B9AA2F}">
  <dimension ref="A3:E15"/>
  <sheetViews>
    <sheetView view="pageBreakPreview" zoomScale="60" zoomScaleNormal="100" workbookViewId="0">
      <selection activeCell="C20" sqref="C20"/>
    </sheetView>
  </sheetViews>
  <sheetFormatPr defaultRowHeight="14.4"/>
  <cols>
    <col min="1" max="1" width="20.44140625" bestFit="1" customWidth="1"/>
    <col min="2" max="2" width="14.88671875" bestFit="1" customWidth="1"/>
    <col min="3" max="3" width="18.6640625" bestFit="1" customWidth="1"/>
    <col min="4" max="4" width="15.77734375" bestFit="1" customWidth="1"/>
    <col min="5" max="5" width="28.6640625" bestFit="1" customWidth="1"/>
  </cols>
  <sheetData>
    <row r="3" spans="1:5">
      <c r="A3" s="30" t="s">
        <v>91</v>
      </c>
      <c r="B3" s="2" t="s">
        <v>93</v>
      </c>
      <c r="C3" s="2" t="s">
        <v>113</v>
      </c>
      <c r="D3" s="2" t="s">
        <v>111</v>
      </c>
      <c r="E3" s="2" t="s">
        <v>112</v>
      </c>
    </row>
    <row r="4" spans="1:5">
      <c r="A4" s="13" t="s">
        <v>15</v>
      </c>
      <c r="B4" s="2">
        <v>49</v>
      </c>
      <c r="C4" s="31">
        <v>4.5</v>
      </c>
      <c r="D4" s="32">
        <v>343000</v>
      </c>
      <c r="E4" s="32">
        <v>21890</v>
      </c>
    </row>
    <row r="5" spans="1:5">
      <c r="A5" s="13" t="s">
        <v>23</v>
      </c>
      <c r="B5" s="2">
        <v>60</v>
      </c>
      <c r="C5" s="31">
        <v>4.1818181818181817</v>
      </c>
      <c r="D5" s="32">
        <v>309000</v>
      </c>
      <c r="E5" s="32">
        <v>28361</v>
      </c>
    </row>
    <row r="6" spans="1:5">
      <c r="A6" s="13" t="s">
        <v>45</v>
      </c>
      <c r="B6" s="2">
        <v>31</v>
      </c>
      <c r="C6" s="31">
        <v>4.7142857142857144</v>
      </c>
      <c r="D6" s="32">
        <v>236000</v>
      </c>
      <c r="E6" s="32">
        <v>19205</v>
      </c>
    </row>
    <row r="7" spans="1:5">
      <c r="A7" s="13" t="s">
        <v>19</v>
      </c>
      <c r="B7" s="2">
        <v>69</v>
      </c>
      <c r="C7" s="31">
        <v>3.5454545454545454</v>
      </c>
      <c r="D7" s="32">
        <v>341000</v>
      </c>
      <c r="E7" s="32">
        <v>23488</v>
      </c>
    </row>
    <row r="8" spans="1:5">
      <c r="A8" s="13" t="s">
        <v>29</v>
      </c>
      <c r="B8" s="2">
        <v>70</v>
      </c>
      <c r="C8" s="31">
        <v>3.2307692307692308</v>
      </c>
      <c r="D8" s="32">
        <v>454000</v>
      </c>
      <c r="E8" s="32">
        <v>22238</v>
      </c>
    </row>
    <row r="9" spans="1:5">
      <c r="A9" s="13" t="s">
        <v>92</v>
      </c>
      <c r="B9" s="2">
        <v>279</v>
      </c>
      <c r="C9" s="31">
        <v>3.92</v>
      </c>
      <c r="D9" s="32">
        <v>1683000</v>
      </c>
      <c r="E9" s="32">
        <v>115182</v>
      </c>
    </row>
    <row r="13" spans="1:5">
      <c r="A13" s="5" t="s">
        <v>84</v>
      </c>
      <c r="B13" s="5" t="s">
        <v>79</v>
      </c>
    </row>
    <row r="14" spans="1:5">
      <c r="A14" s="2" t="s">
        <v>114</v>
      </c>
      <c r="B14" s="33">
        <f>MAX(D4:D8)</f>
        <v>454000</v>
      </c>
    </row>
    <row r="15" spans="1:5">
      <c r="A15" s="2" t="s">
        <v>115</v>
      </c>
      <c r="B15" s="13" t="s">
        <v>29</v>
      </c>
    </row>
  </sheetData>
  <pageMargins left="0.7" right="0.7" top="0.75" bottom="0.75" header="0.3" footer="0.3"/>
  <pageSetup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5DC9-C63F-4A37-ACC1-58A8F10021A1}">
  <dimension ref="A1"/>
  <sheetViews>
    <sheetView view="pageBreakPreview" zoomScale="60" zoomScaleNormal="100" workbookViewId="0">
      <selection activeCell="K15" sqref="K15"/>
    </sheetView>
  </sheetViews>
  <sheetFormatPr defaultRowHeight="14.4"/>
  <cols>
    <col min="13" max="13" width="16.88671875" customWidth="1"/>
  </cols>
  <sheetData/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BC93-6AE8-4B58-B34D-810998C176A7}">
  <dimension ref="A1:A18"/>
  <sheetViews>
    <sheetView view="pageBreakPreview" zoomScale="60" zoomScaleNormal="100" workbookViewId="0">
      <selection activeCell="A16" sqref="A16"/>
    </sheetView>
  </sheetViews>
  <sheetFormatPr defaultRowHeight="14.4"/>
  <cols>
    <col min="1" max="1" width="192.88671875" customWidth="1"/>
    <col min="2" max="2" width="104.77734375" bestFit="1" customWidth="1"/>
  </cols>
  <sheetData>
    <row r="1" spans="1:1">
      <c r="A1" s="1" t="s">
        <v>116</v>
      </c>
    </row>
    <row r="2" spans="1:1">
      <c r="A2" t="s">
        <v>118</v>
      </c>
    </row>
    <row r="3" spans="1:1">
      <c r="A3" t="s">
        <v>120</v>
      </c>
    </row>
    <row r="4" spans="1:1">
      <c r="A4" t="s">
        <v>122</v>
      </c>
    </row>
    <row r="5" spans="1:1">
      <c r="A5" t="s">
        <v>124</v>
      </c>
    </row>
    <row r="7" spans="1:1">
      <c r="A7" s="1" t="s">
        <v>117</v>
      </c>
    </row>
    <row r="8" spans="1:1">
      <c r="A8" s="1" t="s">
        <v>119</v>
      </c>
    </row>
    <row r="9" spans="1:1">
      <c r="A9" s="1" t="s">
        <v>121</v>
      </c>
    </row>
    <row r="10" spans="1:1">
      <c r="A10" s="1" t="s">
        <v>123</v>
      </c>
    </row>
    <row r="11" spans="1:1">
      <c r="A11" s="1" t="s">
        <v>125</v>
      </c>
    </row>
    <row r="14" spans="1:1">
      <c r="A14" s="1" t="s">
        <v>126</v>
      </c>
    </row>
    <row r="16" spans="1:1">
      <c r="A16" t="s">
        <v>127</v>
      </c>
    </row>
    <row r="17" spans="1:1">
      <c r="A17" t="s">
        <v>128</v>
      </c>
    </row>
    <row r="18" spans="1:1">
      <c r="A18" t="s">
        <v>129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Raw_Data</vt:lpstr>
      <vt:lpstr>Cleaned Data</vt:lpstr>
      <vt:lpstr>Calculations</vt:lpstr>
      <vt:lpstr>Pivot Table</vt:lpstr>
      <vt:lpstr>Chart</vt:lpstr>
      <vt:lpstr>Interpretation and recommendati</vt:lpstr>
      <vt:lpstr>Calculations!Print_Area</vt:lpstr>
      <vt:lpstr>'Cleaned Data'!Print_Area</vt:lpstr>
      <vt:lpstr>'Interpretation and recommendati'!Print_Area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 Cortezo</cp:lastModifiedBy>
  <cp:lastPrinted>2026-09-21T11:29:45Z</cp:lastPrinted>
  <dcterms:created xsi:type="dcterms:W3CDTF">2026-09-17T04:00:24Z</dcterms:created>
  <dcterms:modified xsi:type="dcterms:W3CDTF">2026-09-21T11:30:57Z</dcterms:modified>
</cp:coreProperties>
</file>