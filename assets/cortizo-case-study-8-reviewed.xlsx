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91fb99916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8" r:id="R5ee4befda36b4d58"/>
    <x:sheet xmlns:r="http://schemas.openxmlformats.org/officeDocument/2006/relationships" name="Cleaned Data" sheetId="13" r:id="Raa90b126b3254f0c"/>
    <x:sheet xmlns:r="http://schemas.openxmlformats.org/officeDocument/2006/relationships" name="Calculations" sheetId="14" r:id="Rb763a8ebcadb46d5"/>
    <x:sheet xmlns:r="http://schemas.openxmlformats.org/officeDocument/2006/relationships" name="Pivot Table" sheetId="19" r:id="R00d001a544fd44f3"/>
    <x:sheet xmlns:r="http://schemas.openxmlformats.org/officeDocument/2006/relationships" name="Chart" sheetId="18" r:id="R00c4b3a027d54287"/>
    <x:sheet xmlns:r="http://schemas.openxmlformats.org/officeDocument/2006/relationships" name="Interpretation and recommendati" sheetId="21" r:id="R0834881b3f2d4d97"/>
  </x:sheets>
  <x:pivotCaches>
    <x:pivotCache xmlns:r="http://schemas.openxmlformats.org/officeDocument/2006/relationships" cacheId="0" r:id="Ra2f5f1b582d14855"/>
  </x:pivotCach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<x:sst xmlns:x="http://schemas.openxmlformats.org/spreadsheetml/2006/main">
  <x:si>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Asset_ID</x:t>
  </x:si>
  <x:si>
    <x:t xml:space="preserve">Equipment_Type</x:t>
  </x:si>
  <x:si>
    <x:t xml:space="preserve">Brand</x:t>
  </x:si>
  <x:si>
    <x:t xml:space="preserve">Condition</x:t>
  </x:si>
  <x:si>
    <x:t xml:space="preserve">Age_Years</x:t>
  </x:si>
  <x:si>
    <x:t xml:space="preserve">Quantity</x:t>
  </x:si>
  <x:si>
    <x:t xml:space="preserve">Unit_Cost</x:t>
  </x:si>
  <x:si>
    <x:t xml:space="preserve">Maintenance_Cost</x:t>
  </x:si>
  <x:si>
    <x:t xml:space="preserve">Warranty</x:t>
  </x:si>
  <x:si>
    <x:t xml:space="preserve">Department</x:t>
  </x:si>
  <x:si>
    <x:t xml:space="preserve">A8000</x:t>
  </x:si>
  <x:si>
    <x:t xml:space="preserve">Desktop</x:t>
  </x:si>
  <x:si>
    <x:t xml:space="preserve">Epson</x:t>
  </x:si>
  <x:si>
    <x:t xml:space="preserve">Fair</x:t>
  </x:si>
  <x:si>
    <x:t xml:space="preserve">No</x:t>
  </x:si>
  <x:si>
    <x:t xml:space="preserve">Library</x:t>
  </x:si>
  <x:si>
    <x:t xml:space="preserve">A8001</x:t>
  </x:si>
  <x:si>
    <x:t xml:space="preserve">Projector</x:t>
  </x:si>
  <x:si>
    <x:t xml:space="preserve">Dell</x:t>
  </x:si>
  <x:si>
    <x:t xml:space="preserve">Yes</x:t>
  </x:si>
  <x:si>
    <x:t xml:space="preserve">Admin</x:t>
  </x:si>
  <x:si>
    <x:t xml:space="preserve">A8002</x:t>
  </x:si>
  <x:si>
    <x:t xml:space="preserve">Laptop</x:t>
  </x:si>
  <x:si>
    <x:t xml:space="preserve">Faculty</x:t>
  </x:si>
  <x:si>
    <x:t xml:space="preserve">A8003</x:t>
  </x:si>
  <x:si>
    <x:t xml:space="preserve">Cisco</x:t>
  </x:si>
  <x:si>
    <x:t xml:space="preserve">Needs Repair</x:t>
  </x:si>
  <x:si>
    <x:t xml:space="preserve">A8004</x:t>
  </x:si>
  <x:si>
    <x:t xml:space="preserve">Router</x:t>
  </x:si>
  <x:si>
    <x:t xml:space="preserve">Good</x:t>
  </x:si>
  <x:si>
    <x:t xml:space="preserve">A8005</x:t>
  </x:si>
  <x:si>
    <x:t xml:space="preserve">HP</x:t>
  </x:si>
  <x:si>
    <x:t xml:space="preserve">IT</x:t>
  </x:si>
  <x:si>
    <x:t xml:space="preserve">A8006</x:t>
  </x:si>
  <x:si>
    <x:t xml:space="preserve">A8007</x:t>
  </x:si>
  <x:si>
    <x:t xml:space="preserve">A8008</x:t>
  </x:si>
  <x:si>
    <x:t xml:space="preserve">A8009</x:t>
  </x:si>
  <x:si>
    <x:t xml:space="preserve">Lenovo</x:t>
  </x:si>
  <x:si>
    <x:t xml:space="preserve">A8010</x:t>
  </x:si>
  <x:si>
    <x:t xml:space="preserve">A8011</x:t>
  </x:si>
  <x:si>
    <x:t xml:space="preserve">A8012</x:t>
  </x:si>
  <x:si>
    <x:t xml:space="preserve">A8013</x:t>
  </x:si>
  <x:si>
    <x:t xml:space="preserve">A8014</x:t>
  </x:si>
  <x:si>
    <x:t xml:space="preserve">A8015</x:t>
  </x:si>
  <x:si>
    <x:t xml:space="preserve">A8016</x:t>
  </x:si>
  <x:si>
    <x:t xml:space="preserve">Printer</x:t>
  </x:si>
  <x:si>
    <x:t xml:space="preserve">A8017</x:t>
  </x:si>
  <x:si>
    <x:t xml:space="preserve">A8018</x:t>
  </x:si>
  <x:si>
    <x:t xml:space="preserve">A8019</x:t>
  </x:si>
  <x:si>
    <x:t xml:space="preserve">A8020</x:t>
  </x:si>
  <x:si>
    <x:t xml:space="preserve">A8021</x:t>
  </x:si>
  <x:si>
    <x:t xml:space="preserve">A8022</x:t>
  </x:si>
  <x:si>
    <x:t xml:space="preserve">A8023</x:t>
  </x:si>
  <x:si>
    <x:t xml:space="preserve">A8024</x:t>
  </x:si>
  <x:si>
    <x:t xml:space="preserve">A8025</x:t>
  </x:si>
  <x:si>
    <x:t xml:space="preserve">A8026</x:t>
  </x:si>
  <x:si>
    <x:t xml:space="preserve">A8027</x:t>
  </x:si>
  <x:si>
    <x:t xml:space="preserve">A8028</x:t>
  </x:si>
  <x:si>
    <x:t xml:space="preserve">A8029</x:t>
  </x:si>
  <x:si>
    <x:t xml:space="preserve">A8030</x:t>
  </x:si>
  <x:si>
    <x:t xml:space="preserve">A8031</x:t>
  </x:si>
  <x:si>
    <x:t xml:space="preserve">A8032</x:t>
  </x:si>
  <x:si>
    <x:t xml:space="preserve">A8033</x:t>
  </x:si>
  <x:si>
    <x:t xml:space="preserve">A8034</x:t>
  </x:si>
  <x:si>
    <x:t xml:space="preserve">A8035</x:t>
  </x:si>
  <x:si>
    <x:t xml:space="preserve">A8036</x:t>
  </x:si>
  <x:si>
    <x:t xml:space="preserve">A8037</x:t>
  </x:si>
  <x:si>
    <x:t xml:space="preserve">A8038</x:t>
  </x:si>
  <x:si>
    <x:t xml:space="preserve">A8039</x:t>
  </x:si>
  <x:si>
    <x:t xml:space="preserve">A8040</x:t>
  </x:si>
  <x:si>
    <x:t xml:space="preserve">A8041</x:t>
  </x:si>
  <x:si>
    <x:t xml:space="preserve">A8042</x:t>
  </x:si>
  <x:si>
    <x:t xml:space="preserve">A8043</x:t>
  </x:si>
  <x:si>
    <x:t xml:space="preserve">A8044</x:t>
  </x:si>
  <x:si>
    <x:t xml:space="preserve">A8045</x:t>
  </x:si>
  <x:si>
    <x:t xml:space="preserve">A8046</x:t>
  </x:si>
  <x:si>
    <x:t xml:space="preserve">A8047</x:t>
  </x:si>
  <x:si>
    <x:t xml:space="preserve">A8048</x:t>
  </x:si>
  <x:si>
    <x:t xml:space="preserve">A8049</x:t>
  </x:si>
  <x:si>
    <x:t xml:space="preserve">Data Check</x:t>
  </x:si>
  <x:si>
    <x:t xml:space="preserve">Result</x:t>
  </x:si>
  <x:si>
    <x:t xml:space="preserve">Duplicate Asset_IDs</x:t>
  </x:si>
  <x:si>
    <x:t xml:space="preserve">Blank in Age_Years</x:t>
  </x:si>
  <x:si>
    <x:t xml:space="preserve">Blank in Quantity</x:t>
  </x:si>
  <x:si>
    <x:t xml:space="preserve">Metric</x:t>
  </x:si>
  <x:si>
    <x:t xml:space="preserve">Equipment Type</x:t>
  </x:si>
  <x:si>
    <x:t xml:space="preserve">Total Units</x:t>
  </x:si>
  <x:si>
    <x:t xml:space="preserve">Total Acquisition Value</x:t>
  </x:si>
  <x:si>
    <x:t xml:space="preserve">Total Maintenance Cost</x:t>
  </x:si>
  <x:si>
    <x:t xml:space="preserve">Warranty Status</x:t>
  </x:si>
  <x:si>
    <x:t xml:space="preserve">Mean</x:t>
  </x:si>
  <x:si>
    <x:t xml:space="preserve">Median</x:t>
  </x:si>
  <x:si>
    <x:t xml:space="preserve">Min</x:t>
  </x:si>
  <x:si>
    <x:t xml:space="preserve">Max</x:t>
  </x:si>
  <x:si>
    <x:t xml:space="preserve">Highest Maintenance Cost</x:t>
  </x:si>
  <x:si>
    <x:t xml:space="preserve">Record Count</x:t>
  </x:si>
  <x:si>
    <x:t xml:space="preserve">Maintenance Cost</x:t>
  </x:si>
  <x:si>
    <x:t xml:space="preserve">Total</x:t>
  </x:si>
  <x:si>
    <x:t xml:space="preserve">Average Maintenance Cost</x:t>
  </x:si>
  <x:si>
    <x:t xml:space="preserve">Priority Level</x:t>
  </x:si>
  <x:si>
    <x:t xml:space="preserve">Criteria / Condition</x:t>
  </x:si>
  <x:si>
    <x:t xml:space="preserve">High Priority (Needs Repair)</x:t>
  </x:si>
  <x:si>
    <x:t xml:space="preserve">Condition = Needs Repair</x:t>
  </x:si>
  <x:si>
    <x:t xml:space="preserve">Medium Priority (Aging)</x:t>
  </x:si>
  <x:si>
    <x:t xml:space="preserve">Age &gt;= 5 &amp; Condition = Fair</x:t>
  </x:si>
  <x:si>
    <x:t xml:space="preserve">Low Priority (Normal)</x:t>
  </x:si>
  <x:si>
    <x:t xml:space="preserve">All Other Equipment</x:t>
  </x:si>
  <x:si>
    <x:t xml:space="preserve">—</x:t>
  </x:si>
  <x:si>
    <x:t xml:space="preserve">Row Labels</x:t>
  </x:si>
  <x:si>
    <x:t xml:space="preserve">Sum of Quantity</x:t>
  </x:si>
  <x:si>
    <x:t xml:space="preserve">Average of Age_year</x:t>
  </x:si>
  <x:si>
    <x:t xml:space="preserve">Sum of Unit_Cost</x:t>
  </x:si>
  <x:si>
    <x:t xml:space="preserve">Sum of Maintenance_Cost</x:t>
  </x:si>
  <x:si>
    <x:t xml:space="preserve">Grand Total</x:t>
  </x:si>
  <x:si>
    <x:t xml:space="preserve">Highest Inventory Value</x:t>
  </x:si>
  <x:si>
    <x:t xml:space="preserve">Top Equipment Type</x:t>
  </x:si>
  <x:si>
    <x:t xml:space="preserve">Key Patterns</x:t>
  </x:si>
  <x:si>
    <x:t xml:space="preserve">Imbalanced Laptop Allocation</x:t>
  </x:si>
  <x:si>
    <x:t xml:space="preserve">Printer Hoarding in IT</x:t>
  </x:si>
  <x:si>
    <x:t xml:space="preserve">Heavy Router Concentration in Library</x:t>
  </x:si>
  <x:si>
    <x:t xml:space="preserve">Aging Desktop Inventory</x:t>
  </x:si>
  <x:si>
    <x:t xml:space="preserve">Inventory Issues</x:t>
  </x:si>
  <x:si>
    <x:r>
      <x:t xml:space="preserve">Issue:</x:t>
    </x:r>
    <x:r>
      <x:rPr>
        <x:sz val="11"/>
        <x:color theme="1"/>
        <x:rFont val="Calibri"/>
        <x:family val="2"/>
        <x:scheme val="minor"/>
      </x:rPr>
      <x:t xml:space="preserve"> The IT department has </x:t>
    </x:r>
    <x:r>
      <x:rPr>
        <x:b/>
        <x:sz val="11"/>
        <x:color theme="1"/>
        <x:rFont val="Calibri"/>
        <x:family val="2"/>
        <x:scheme val="minor"/>
      </x:rPr>
      <x:t xml:space="preserve">0 Laptops</x:t>
    </x:r>
    <x:r>
      <x:rPr>
        <x:sz val="11"/>
        <x:color theme="1"/>
        <x:rFont val="Calibri"/>
        <x:family val="2"/>
        <x:scheme val="minor"/>
      </x:rPr>
      <x:t xml:space="preserve"> (holds 15 Desktops instead), while Faculty (18) and Library (25) hold the vast majority.</x:t>
    </x:r>
  </x:si>
  <x:si>
    <x:r>
      <x:t xml:space="preserve">Issue:</x:t>
    </x:r>
    <x:r>
      <x:rPr>
        <x:sz val="11"/>
        <x:color theme="1"/>
        <x:rFont val="Calibri"/>
        <x:family val="2"/>
        <x:scheme val="minor"/>
      </x:rPr>
      <x:t xml:space="preserve"> IT holds </x:t>
    </x:r>
    <x:r>
      <x:rPr>
        <x:b/>
        <x:sz val="11"/>
        <x:color theme="1"/>
        <x:rFont val="Calibri"/>
        <x:family val="2"/>
        <x:scheme val="minor"/>
      </x:rPr>
      <x:t xml:space="preserve">18 out of the total 35 Printers</x:t>
    </x:r>
    <x:r>
      <x:rPr>
        <x:sz val="11"/>
        <x:color theme="1"/>
        <x:rFont val="Calibri"/>
        <x:family val="2"/>
        <x:scheme val="minor"/>
      </x:rPr>
      <x:t xml:space="preserve"> (over 50% of all printer inventory), while Library only has 12 and Admin has 2.</x:t>
    </x:r>
  </x:si>
  <x:si>
    <x:r>
      <x:t xml:space="preserve">Issue:</x:t>
    </x:r>
    <x:r>
      <x:rPr>
        <x:sz val="11"/>
        <x:color theme="1"/>
        <x:rFont val="Calibri"/>
        <x:family val="2"/>
        <x:scheme val="minor"/>
      </x:rPr>
      <x:t xml:space="preserve"> The Library holds </x:t>
    </x:r>
    <x:r>
      <x:rPr>
        <x:b/>
        <x:sz val="11"/>
        <x:color theme="1"/>
        <x:rFont val="Calibri"/>
        <x:family val="2"/>
        <x:scheme val="minor"/>
      </x:rPr>
      <x:t xml:space="preserve">35 out of 61 Routers</x:t>
    </x:r>
    <x:r>
      <x:rPr>
        <x:sz val="11"/>
        <x:color theme="1"/>
        <x:rFont val="Calibri"/>
        <x:family val="2"/>
        <x:scheme val="minor"/>
      </x:rPr>
      <x:t xml:space="preserve"> (57% of total router stock).</x:t>
    </x:r>
  </x:si>
  <x:si>
    <x:r>
      <x:t xml:space="preserve">Issue:</x:t>
    </x:r>
    <x:r>
      <x:rPr>
        <x:sz val="11"/>
        <x:color theme="1"/>
        <x:rFont val="Calibri"/>
        <x:family val="2"/>
        <x:scheme val="minor"/>
      </x:rPr>
      <x:t xml:space="preserve"> Desktops have the highest average age (</x:t>
    </x:r>
    <x:r>
      <x:rPr>
        <x:b/>
        <x:sz val="11"/>
        <x:color theme="1"/>
        <x:rFont val="Calibri"/>
        <x:family val="2"/>
        <x:scheme val="minor"/>
      </x:rPr>
      <x:t xml:space="preserve">4.5 years</x:t>
    </x:r>
    <x:r>
      <x:rPr>
        <x:sz val="11"/>
        <x:color theme="1"/>
        <x:rFont val="Calibri"/>
        <x:family val="2"/>
        <x:scheme val="minor"/>
      </x:rPr>
      <x:t xml:space="preserve">), with total maintenance costs already reaching </x:t>
    </x:r>
    <x:r>
      <x:rPr>
        <x:b/>
        <x:sz val="11"/>
        <x:color theme="1"/>
        <x:rFont val="Calibri"/>
        <x:family val="2"/>
        <x:scheme val="minor"/>
      </x:rPr>
      <x:t xml:space="preserve">₱21,890.00</x:t>
    </x:r>
    <x:r>
      <x:rPr>
        <x:sz val="11"/>
        <x:color theme="1"/>
        <x:rFont val="Calibri"/>
        <x:family val="2"/>
        <x:scheme val="minor"/>
      </x:rPr>
      <x:t xml:space="preserve">.</x:t>
    </x:r>
  </x:si>
  <x:si>
    <x:t xml:space="preserve">Evidence-Based Recommendations</x:t>
  </x:si>
  <x:si>
    <x:r>
      <x:t xml:space="preserve">Reallocate 3 Laptops to IT:</x:t>
    </x:r>
    <x:r>
      <x:rPr>
        <x:sz val="11"/>
        <x:color theme="1"/>
        <x:rFont val="Calibri"/>
        <x:family val="2"/>
        <x:scheme val="minor"/>
      </x:rPr>
      <x:t xml:space="preserve"> Shift idle laptops from Faculty or Library to eliminate IT's complete lack of mobile hardware.</x:t>
    </x:r>
  </x:si>
  <x:si>
    <x:r>
      <x:t xml:space="preserve">Redistribute 10 Printers from IT:</x:t>
    </x:r>
    <x:r>
      <x:rPr>
        <x:sz val="11"/>
        <x:color theme="1"/>
        <x:rFont val="Calibri"/>
        <x:family val="2"/>
        <x:scheme val="minor"/>
      </x:rPr>
      <x:t xml:space="preserve"> Transfer excess printer stock from IT storage to high-demand departments like Admin and Faculty.</x:t>
    </x:r>
  </x:si>
  <x:si>
    <x:r>
      <x:t xml:space="preserve">Reclassify 35 Library Routers:</x:t>
    </x:r>
    <x:r>
      <x:rPr>
        <x:sz val="11"/>
        <x:color theme="1"/>
        <x:rFont val="Calibri"/>
        <x:family val="2"/>
        <x:scheme val="minor"/>
      </x:rPr>
      <x:t xml:space="preserve"> Re-tag central network infrastructure correctly under IT operational control rather than Library inventory.</x:t>
    </x:r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</x:si>
</x:sst>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&quot;₱&quot;#,##0.00"/>
    <x:numFmt numFmtId="166" formatCode="&quot;₱&quot;#,##0.0"/>
  </x:numFmts>
  <x:fonts count="8"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theme="1"/>
      <x:name val="Arial Unicode MS"/>
    </x:font>
    <x:font>
      <x:b/>
      <x:sz val="11"/>
      <x:color theme="0"/>
      <x:name val="Calibri"/>
    </x:font>
    <x:font>
      <x:b/>
      <x:sz val="14"/>
      <x:color theme="0"/>
      <x:name val="Calibri"/>
    </x:font>
    <x:font>
      <x:sz val="14"/>
      <x:color theme="0"/>
      <x:name val="Calibri"/>
    </x:font>
    <x:font>
      <x:b/>
      <x:sz val="12"/>
      <x:color theme="0"/>
      <x:name val="Calibri"/>
    </x:font>
    <x:font>
      <x:b/>
      <x:sz val="14"/>
      <x:color theme="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/>
    <x:xf numFmtId="0" fontId="0" fillId="0" borderId="1" xfId="0" applyBorder="1"/>
    <x:xf numFmtId="0" fontId="0" fillId="0" borderId="2" xfId="0" applyBorder="1"/>
    <x:xf numFmtId="0" fontId="4" fillId="2" borderId="1" xfId="0" applyFont="1" applyFill="1" applyBorder="1"/>
    <x:xf numFmtId="0" fontId="3" fillId="2" borderId="1" xfId="0" applyFont="1" applyFill="1" applyBorder="1"/>
    <x:xf numFmtId="0" fontId="5" fillId="2" borderId="1" xfId="0" applyFont="1" applyFill="1" applyBorder="1"/>
    <x:xf numFmtId="0" fontId="7" fillId="2" borderId="1" xfId="0" applyFont="1" applyFill="1" applyBorder="1" applyAlignment="1">
      <x:alignment horizontal="left" vertical="center" wrapText="1"/>
    </x:xf>
    <x:xf numFmtId="2" fontId="0" fillId="0" borderId="1" xfId="0" applyNumberFormat="1" applyBorder="1"/>
    <x:xf numFmtId="0" fontId="2" fillId="0" borderId="1" xfId="0" applyFont="1" applyBorder="1" applyAlignment="1">
      <x:alignment vertical="center" wrapText="1"/>
    </x:xf>
    <x:xf numFmtId="0" fontId="0" fillId="0" borderId="4" xfId="0" applyBorder="1"/>
    <x:xf numFmtId="0" fontId="0" fillId="0" borderId="0" xfId="0" applyBorder="1"/>
    <x:xf numFmtId="0" fontId="0" fillId="0" borderId="5" xfId="0" applyBorder="1"/>
    <x:xf numFmtId="0" fontId="0" fillId="0" borderId="1" xfId="0" applyBorder="1" applyAlignment="1">
      <x:alignment horizontal="left"/>
    </x:xf>
    <x:xf numFmtId="0" fontId="0" fillId="0" borderId="1" xfId="0" applyBorder="1" applyAlignment="1">
      <x:alignment horizontal="right" vertical="top"/>
    </x:xf>
    <x:xf numFmtId="0" fontId="4" fillId="2" borderId="4" xfId="0" applyFont="1" applyFill="1" applyBorder="1"/>
    <x:xf numFmtId="0" fontId="4" fillId="2" borderId="2" xfId="0" applyFont="1" applyFill="1" applyBorder="1"/>
    <x:xf numFmtId="0" fontId="4" fillId="2" borderId="4" xfId="0" applyFont="1" applyFill="1" applyBorder="1" applyAlignment="1">
      <x:alignment horizontal="center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6" xfId="0" applyFont="1" applyFill="1" applyBorder="1"/>
    <x:xf numFmtId="0" fontId="0" fillId="0" borderId="7" xfId="0" applyBorder="1"/>
    <x:xf numFmtId="0" fontId="4" fillId="2" borderId="3" xfId="0" applyFont="1" applyFill="1" applyBorder="1" applyAlignment="1">
      <x:alignment horizontal="center"/>
    </x:xf>
    <x:xf numFmtId="0" fontId="0" fillId="0" borderId="2" xfId="0" applyBorder="1" applyAlignment="1">
      <x:alignment horizontal="left"/>
    </x:xf>
    <x:xf numFmtId="0" fontId="5" fillId="2" borderId="4" xfId="0" applyFont="1" applyFill="1" applyBorder="1"/>
    <x:xf numFmtId="0" fontId="5" fillId="2" borderId="6" xfId="0" applyFont="1" applyFill="1" applyBorder="1"/>
    <x:xf numFmtId="0" fontId="1" fillId="0" borderId="4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2" xfId="0" applyFont="1" applyBorder="1" applyAlignment="1">
      <x:alignment horizontal="left"/>
    </x:xf>
    <x:xf numFmtId="0" fontId="0" fillId="0" borderId="4" xfId="0" applyBorder="1" applyAlignment="1">
      <x:alignment horizontal="left"/>
    </x:xf>
    <x:xf numFmtId="0" fontId="5" fillId="2" borderId="0" xfId="0" applyFont="1" applyFill="1" applyBorder="1" applyAlignment="1">
      <x:alignment horizontal="center"/>
    </x:xf>
    <x:xf numFmtId="0" fontId="0" fillId="0" borderId="1" xfId="0" applyBorder="1"/>
    <x:xf numFmtId="164" fontId="0" fillId="0" borderId="1" xfId="0" applyNumberFormat="1" applyBorder="1"/>
    <x:xf numFmtId="165" fontId="0" fillId="0" borderId="1" xfId="0" applyNumberFormat="1" applyBorder="1"/>
    <x:xf numFmtId="166" fontId="0" fillId="0" borderId="1" xfId="0" applyNumberFormat="1" applyBorder="1"/>
    <x:xf numFmtId="0" fontId="4" fillId="2" borderId="0" xfId="0" applyFont="1" applyFill="1" applyAlignment="1"/>
    <x:xf numFmtId="0" fontId="4" fillId="2" borderId="9" xfId="0" applyFont="1" applyFill="1" applyBorder="1" applyAlignment="1"/>
    <x:xf numFmtId="0" fontId="0" fillId="0" borderId="1" xfId="0" applyBorder="1" applyAlignment="1"/>
    <x:xf numFmtId="0" fontId="0" fillId="0" borderId="0" xfId="0" applyAlignment="1"/>
    <x:xf numFmtId="0" fontId="6" fillId="2" borderId="8" xfId="0" applyFont="1" applyFill="1" applyBorder="1" applyAlignment="1"/>
    <x:xf numFmtId="0" fontId="6" fillId="2" borderId="1" xfId="0" applyFont="1" applyFill="1" applyBorder="1" applyAlignment="1"/>
    <x:xf numFmtId="0" fontId="0" fillId="0" borderId="2" xfId="0" applyBorder="1" applyAlignment="1"/>
  </x:cellXfs>
  <x:cellStyles count="1">
    <x:cellStyle name="Normal" xfId="0"/>
  </x:cellStyles>
  <x:dxfs count="6"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d560141d94ff0" /><Relationship Type="http://schemas.openxmlformats.org/officeDocument/2006/relationships/theme" Target="/xl/theme/theme1.xml" Id="R726cd8a2e83443ec" /><Relationship Type="http://schemas.openxmlformats.org/officeDocument/2006/relationships/sheetMetadata" Target="/xl/metadata1.xml" Id="R5d1f96d7abaa4371" /><Relationship Type="http://schemas.openxmlformats.org/officeDocument/2006/relationships/sharedStrings" Target="/xl/sharedStrings.xml" Id="R653f9ecdbba8462b" /><Relationship Type="http://schemas.openxmlformats.org/officeDocument/2006/relationships/pivotCacheDefinition" Target="/pivotCache/pivotCacheDefinition1.xml" Id="Ra2f5f1b582d14855" /><Relationship Type="http://schemas.openxmlformats.org/officeDocument/2006/relationships/worksheet" Target="/xl/worksheets/sheet1.xml" Id="R5ee4befda36b4d58" /><Relationship Type="http://schemas.openxmlformats.org/officeDocument/2006/relationships/worksheet" Target="/xl/worksheets/sheet2.xml" Id="Raa90b126b3254f0c" /><Relationship Type="http://schemas.openxmlformats.org/officeDocument/2006/relationships/worksheet" Target="/xl/worksheets/sheet3.xml" Id="Rb763a8ebcadb46d5" /><Relationship Type="http://schemas.openxmlformats.org/officeDocument/2006/relationships/worksheet" Target="/xl/worksheets/sheet4.xml" Id="R00d001a544fd44f3" /><Relationship Type="http://schemas.openxmlformats.org/officeDocument/2006/relationships/worksheet" Target="/xl/worksheets/sheet5.xml" Id="R00c4b3a027d54287" /><Relationship Type="http://schemas.openxmlformats.org/officeDocument/2006/relationships/worksheet" Target="/xl/worksheets/sheet6.xml" Id="R0834881b3f2d4d9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496bb0e0e64c20" /><Relationship Type="http://schemas.openxmlformats.org/officeDocument/2006/relationships/chart" Target="/xl/drawings/charts/chart2.xml" Id="R8d3f012a2302445a" /><Relationship Type="http://schemas.openxmlformats.org/officeDocument/2006/relationships/chart" Target="/xl/drawings/charts/chart3.xml" Id="Rc0abdaf850d0493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Equipment Units by Equipment Type.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Calculations!$G$1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mpd="sng">
              <a:solidFill>
                <a:schemeClr val="lt1">
                  <a:alpha val="50000"/>
                </a:schemeClr>
              </a:solidFill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Calculations!$F$2:$F$6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Printer</c:v>
                </c:pt>
                <c:pt idx="3">
                  <c:v>Router</c:v>
                </c:pt>
                <c:pt idx="4">
                  <c:v>Projector</c:v>
                </c:pt>
              </c:strCache>
            </c:strRef>
          </c:cat>
          <c:val>
            <c:numRef>
              <c:f>Calculations!$G$2:$G$6</c:f>
              <c:numCache>
                <c:formatCode>General</c:formatCode>
                <c:ptCount val="5"/>
                <c:pt idx="0">
                  <c:v>49</c:v>
                </c:pt>
                <c:pt idx="1">
                  <c:v>60</c:v>
                </c:pt>
                <c:pt idx="2">
                  <c:v>31</c:v>
                </c:pt>
                <c:pt idx="3">
                  <c:v>61</c:v>
                </c:pt>
                <c:pt idx="4">
                  <c:v>69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7470735"/>
        <c:axId val="1606983823"/>
      </c:barChart>
      <c:catAx>
        <c:axId val="19474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19050" cmpd="sng">
            <a:solidFill>
              <a:schemeClr val="dk1">
                <a:lumMod val="75000"/>
                <a:lumOff val="2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cap="all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06983823"/>
        <c:crosses val="autoZero"/>
        <c:lblOffset val="100"/>
      </c:catAx>
      <c:valAx>
        <c:axId val="1606983823"/>
        <c:scaling>
          <c:orientation val="minMax"/>
        </c:scaling>
        <c:delete val="1"/>
        <c:axPos val="l"/>
        <c:majorGridlines>
          <c:spPr>
            <a:ln xmlns:a="http://schemas.openxmlformats.org/drawingml/2006/main" w="9525" cmpd="sng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none"/>
        <c:minorTickMark val="none"/>
        <c:tickLblPos val="nextTo"/>
        <c:crossAx val="1947470735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Equipment By Conditions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Calculations!$J$1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mpd="sng">
              <a:solidFill>
                <a:schemeClr val="lt1">
                  <a:alpha val="50000"/>
                </a:schemeClr>
              </a:solidFill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Calculations!$I$2:$I$4</c:f>
              <c:strCache>
                <c:ptCount val="3"/>
                <c:pt idx="0">
                  <c:v>Good</c:v>
                </c:pt>
                <c:pt idx="1">
                  <c:v>Fair</c:v>
                </c:pt>
                <c:pt idx="2">
                  <c:v>Needs Repair</c:v>
                </c:pt>
              </c:strCache>
            </c:strRef>
          </c:cat>
          <c:val>
            <c:numRef>
              <c:f>Calculations!$J$2:$J$4</c:f>
              <c:numCache>
                <c:formatCode>General</c:formatCode>
                <c:ptCount val="3"/>
                <c:pt idx="0">
                  <c:v>108</c:v>
                </c:pt>
                <c:pt idx="1">
                  <c:v>97</c:v>
                </c:pt>
                <c:pt idx="2">
                  <c:v>65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0884431"/>
        <c:axId val="1998764239"/>
      </c:barChart>
      <c:catAx>
        <c:axId val="19508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19050" cmpd="sng">
            <a:solidFill>
              <a:schemeClr val="dk1">
                <a:lumMod val="75000"/>
                <a:lumOff val="2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cap="all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98764239"/>
        <c:crosses val="autoZero"/>
        <c:lblOffset val="100"/>
      </c:catAx>
      <c:valAx>
        <c:axId val="1998764239"/>
        <c:scaling>
          <c:orientation val="minMax"/>
        </c:scaling>
        <c:delete val="1"/>
        <c:axPos val="l"/>
        <c:majorGridlines>
          <c:spPr>
            <a:ln xmlns:a="http://schemas.openxmlformats.org/drawingml/2006/main" w="9525" cmpd="sng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none"/>
        <c:minorTickMark val="none"/>
        <c:tickLblPos val="nextTo"/>
        <c:crossAx val="1950884431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Total Maintenance Cost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Calculations!$N$1</c:f>
              <c:strCache>
                <c:ptCount val="1"/>
                <c:pt idx="0">
                  <c:v>Total Maintenance Cost</c:v>
                </c:pt>
              </c:strCache>
            </c:strRef>
          </c:tx>
          <c: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mpd="sng">
              <a:solidFill>
                <a:schemeClr val="lt1">
                  <a:alpha val="50000"/>
                </a:schemeClr>
              </a:solidFill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Calculations!$M$2:$M$6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Printer</c:v>
                </c:pt>
                <c:pt idx="3">
                  <c:v>Router</c:v>
                </c:pt>
                <c:pt idx="4">
                  <c:v>Projector</c:v>
                </c:pt>
              </c:strCache>
            </c:strRef>
          </c:cat>
          <c:val>
            <c:numRef>
              <c:f>Calculations!$N$2:$N$6</c:f>
              <c:numCache>
                <c:formatCode>General</c:formatCode>
                <c:ptCount val="5"/>
                <c:pt idx="0">
                  <c:v>21890</c:v>
                </c:pt>
                <c:pt idx="1">
                  <c:v>28361</c:v>
                </c:pt>
                <c:pt idx="2">
                  <c:v>19205</c:v>
                </c:pt>
                <c:pt idx="3">
                  <c:v>22081</c:v>
                </c:pt>
                <c:pt idx="4">
                  <c:v>23488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0870511"/>
        <c:axId val="1998835279"/>
      </c:barChart>
      <c:catAx>
        <c:axId val="19508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19050" cmpd="sng">
            <a:solidFill>
              <a:schemeClr val="dk1">
                <a:lumMod val="75000"/>
                <a:lumOff val="2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cap="all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98835279"/>
        <c:crosses val="autoZero"/>
        <c:lblOffset val="100"/>
      </c:catAx>
      <c:valAx>
        <c:axId val="1998835279"/>
        <c:scaling>
          <c:orientation val="minMax"/>
        </c:scaling>
        <c:delete val="1"/>
        <c:axPos val="l"/>
        <c:majorGridlines>
          <c:spPr>
            <a:ln xmlns:a="http://schemas.openxmlformats.org/drawingml/2006/main" w="9525" cmpd="sng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none"/>
        <c:minorTickMark val="none"/>
        <c:tickLblPos val="nextTo"/>
        <c:crossAx val="1950870511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15</xdr:col>
      <xdr:colOff>673100</xdr:colOff>
      <xdr:row>14</xdr:row>
      <xdr:rowOff>114300</xdr:rowOff>
    </xdr:from>
    <xdr:to>
      <xdr:col>15</xdr:col>
      <xdr:colOff>1193800</xdr:colOff>
      <xdr:row>17</xdr:row>
      <xdr:rowOff>38100</xdr:rowOff>
    </xdr:to>
    <xdr:sp>
      <xdr:nvSpPr>
        <xdr:cNvPr id="1" name="Arrow: Up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88700" y="2705100"/>
          <a:ext cx="520700" cy="508000"/>
        </a:xfrm>
        <a:prstGeom xmlns:a="http://schemas.openxmlformats.org/drawingml/2006/main" prst="upArrow">
          <a:avLst/>
        </a:prstGeom>
      </xdr:spPr>
      <x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190500</xdr:colOff>
      <xdr:row>0</xdr:row>
      <xdr:rowOff>175260</xdr:rowOff>
    </xdr:from>
    <xdr:to>
      <xdr:col>5</xdr:col>
      <xdr:colOff>464820</xdr:colOff>
      <xdr:row>11</xdr:row>
      <xdr:rowOff>144780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496bb0e0e64c20"/>
        </a:graphicData>
      </a:graphic>
    </xdr:graphicFrame>
    <xdr:clientData/>
  </xdr:twoCellAnchor>
  <xdr:twoCellAnchor>
    <xdr:from>
      <xdr:col>6</xdr:col>
      <xdr:colOff>281940</xdr:colOff>
      <xdr:row>0</xdr:row>
      <xdr:rowOff>175260</xdr:rowOff>
    </xdr:from>
    <xdr:to>
      <xdr:col>11</xdr:col>
      <xdr:colOff>403860</xdr:colOff>
      <xdr:row>11</xdr:row>
      <xdr:rowOff>152400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3f012a2302445a"/>
        </a:graphicData>
      </a:graphic>
    </xdr:graphicFrame>
    <xdr:clientData/>
  </xdr:twoCellAnchor>
  <xdr:twoCellAnchor>
    <xdr:from>
      <xdr:col>3</xdr:col>
      <xdr:colOff>76200</xdr:colOff>
      <xdr:row>14</xdr:row>
      <xdr:rowOff>30480</xdr:rowOff>
    </xdr:from>
    <xdr:to>
      <xdr:col>8</xdr:col>
      <xdr:colOff>579120</xdr:colOff>
      <xdr:row>25</xdr:row>
      <xdr:rowOff>144780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abdaf850d04932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77b7fb5081a7489d" /></Relationships>
</file>

<file path=xl/pivotTables/pivotTable.xml><?xml version="1.0" encoding="utf-8"?>
<x:pivotTableDefinition xmlns:x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:E9" firstHeaderRow="0" firstDataRow="1" firstDataCol="1"/>
  <x:pivotFields count="10">
    <x:pivotField showAll="0"/>
    <x:pivotField axis="axisRow" showAll="0">
      <x:items count="6">
        <x:item x="0"/>
        <x:item x="2"/>
        <x:item x="4"/>
        <x:item x="1"/>
        <x:item x="3"/>
        <x:item t="default"/>
      </x:items>
    </x:pivotField>
    <x:pivotField showAll="0"/>
    <x:pivotField showAll="0"/>
    <x:pivotField dataField="1" showAll="0"/>
    <x:pivotField dataField="1" showAll="0"/>
    <x:pivotField dataField="1" showAll="0"/>
    <x:pivotField dataField="1" showAll="0"/>
    <x:pivotField showAll="0"/>
    <x:pivotField showAll="0"/>
  </x:pivotFields>
  <x:rowFields count="1">
    <x:field x="1"/>
  </x:rowFields>
  <x:rowItems count="6">
    <x:i>
      <x:x/>
    </x:i>
    <x:i>
      <x:x v="1"/>
    </x:i>
    <x:i>
      <x:x v="2"/>
    </x:i>
    <x:i>
      <x:x v="3"/>
    </x:i>
    <x:i>
      <x:x v="4"/>
    </x:i>
    <x:i t="grand">
      <x:x/>
    </x:i>
  </x:rowItems>
  <x:colFields count="1">
    <x:field x="-2"/>
  </x:colFields>
  <x:colItems count="4">
    <x:i>
      <x:x/>
    </x:i>
    <x:i i="1">
      <x:x v="1"/>
    </x:i>
    <x:i i="2">
      <x:x v="2"/>
    </x:i>
    <x:i i="3">
      <x:x v="3"/>
    </x:i>
  </x:colItems>
  <x:dataFields count="4">
    <x:dataField name="Sum of Quantity" fld="5" baseField="0" baseItem="0"/>
    <x:dataField name="Average of Age_year" fld="4" subtotal="average" baseField="1" baseItem="0" numFmtId="164"/>
    <x:dataField name="Sum of Unit_Cost" fld="6" baseField="0" baseItem="0" numFmtId="165"/>
    <x:dataField name="Sum of Maintenance_Cost" fld="7" baseField="0" baseItem="0" numFmtId="165"/>
  </x:dataFields>
  <x:formats count="6">
    <x:format dxfId="5">
      <x:pivotArea type="all" dataOnly="0" outline="0" fieldPosition="0"/>
    </x:format>
    <x:format dxfId="4">
      <x:pivotArea outline="0" collapsedLevelsAreSubtotals="1" fieldPosition="0"/>
    </x:format>
    <x:format dxfId="3">
      <x:pivotArea field="1" type="button" dataOnly="0" labelOnly="1" outline="0" axis="axisRow" fieldPosition="0"/>
    </x:format>
    <x:format dxfId="2">
      <x:pivotArea dataOnly="0" labelOnly="1" fieldPosition="0">
        <x:references count="1">
          <x:reference field="1" count="0"/>
        </x:references>
      </x:pivotArea>
    </x:format>
    <x:format dxfId="1">
      <x:pivotArea dataOnly="0" labelOnly="1" grandRow="1" outline="0" fieldPosition="0"/>
    </x:format>
    <x:format dxfId="0">
      <x:pivotArea dataOnly="0" labelOnly="1" outline="0" fieldPosition="0">
        <x:references count="1">
          <x:reference field="4294967294" count="4">
            <x:x v="0"/>
            <x:x v="1"/>
            <x:x v="2"/>
            <x:x v="3"/>
          </x:reference>
        </x:references>
      </x:pivotArea>
    </x:format>
  </x:format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74d0bda78a04e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578fd4991523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4826dbde8be4e6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2.6640625" customWidth="1"/>
    <x:col min="2" max="2" width="21.5546875" customWidth="1"/>
    <x:col min="3" max="3" width="12" customWidth="1"/>
    <x:col min="4" max="4" width="14" customWidth="1"/>
    <x:col min="5" max="5" width="14.44140625" customWidth="1"/>
    <x:col min="6" max="6" width="12.6640625" customWidth="1"/>
    <x:col min="7" max="7" width="15.6640625" customWidth="1"/>
    <x:col min="8" max="8" width="32.5546875" customWidth="1"/>
    <x:col min="9" max="9" width="13.5546875" customWidth="1"/>
    <x:col min="10" max="10" width="26.5546875" customWidth="1"/>
  </x:cols>
  <x:sheetData>
    <x:row r="1" s="2" customFormat="1" ht="18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</x:row>
    <x:row r="2" s="2" customForma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>
        <x:v>5</x:v>
      </x:c>
      <x:c r="F2" s="2">
        <x:v>2</x:v>
      </x:c>
      <x:c r="G2" s="2">
        <x:v>45000</x:v>
      </x:c>
      <x:c r="H2" s="2">
        <x:v>1504</x:v>
      </x:c>
      <x:c r="I2" s="2" t="s">
        <x:v>14</x:v>
      </x:c>
      <x:c r="J2" s="2" t="s">
        <x:v>15</x:v>
      </x:c>
    </x:row>
    <x:row r="3" s="2" customFormat="1">
      <x:c r="A3" s="2" t="s">
        <x:v>16</x:v>
      </x:c>
      <x:c r="B3" s="2" t="s">
        <x:v>17</x:v>
      </x:c>
      <x:c r="C3" s="2" t="s">
        <x:v>18</x:v>
      </x:c>
      <x:c r="D3" s="2" t="s">
        <x:v>13</x:v>
      </x:c>
      <x:c r="E3" s="2">
        <x:v>6</x:v>
      </x:c>
      <x:c r="F3" s="2">
        <x:v>4</x:v>
      </x:c>
      <x:c r="G3" s="2">
        <x:v>45000</x:v>
      </x:c>
      <x:c r="H3" s="2">
        <x:v>3418</x:v>
      </x:c>
      <x:c r="I3" s="2" t="s">
        <x:v>19</x:v>
      </x:c>
      <x:c r="J3" s="2" t="s">
        <x:v>20</x:v>
      </x:c>
    </x:row>
    <x:row r="4" s="2" customFormat="1">
      <x:c r="A4" s="2" t="s">
        <x:v>21</x:v>
      </x:c>
      <x:c r="B4" s="2" t="s">
        <x:v>22</x:v>
      </x:c>
      <x:c r="C4" s="2" t="s">
        <x:v>18</x:v>
      </x:c>
      <x:c r="D4" s="2" t="s">
        <x:v>13</x:v>
      </x:c>
      <x:c r="E4" s="2">
        <x:v>4</x:v>
      </x:c>
      <x:c r="F4" s="2">
        <x:v>5</x:v>
      </x:c>
      <x:c r="G4" s="2">
        <x:v>25000</x:v>
      </x:c>
      <x:c r="H4" s="2">
        <x:v>3162</x:v>
      </x:c>
      <x:c r="I4" s="2" t="s">
        <x:v>14</x:v>
      </x:c>
      <x:c r="J4" s="2" t="s">
        <x:v>23</x:v>
      </x:c>
    </x:row>
    <x:row r="5" s="2" customFormat="1">
      <x:c r="A5" s="2" t="s">
        <x:v>24</x:v>
      </x:c>
      <x:c r="B5" s="2" t="s">
        <x:v>17</x:v>
      </x:c>
      <x:c r="C5" s="2" t="s">
        <x:v>25</x:v>
      </x:c>
      <x:c r="D5" s="2" t="s">
        <x:v>26</x:v>
      </x:c>
      <x:c r="E5" s="2">
        <x:v>5</x:v>
      </x:c>
      <x:c r="F5" s="2">
        <x:v>8</x:v>
      </x:c>
      <x:c r="G5" s="2">
        <x:v>25000</x:v>
      </x:c>
      <x:c r="H5" s="2">
        <x:v>606</x:v>
      </x:c>
      <x:c r="I5" s="2" t="s">
        <x:v>19</x:v>
      </x:c>
      <x:c r="J5" s="2" t="s">
        <x:v>20</x:v>
      </x:c>
    </x:row>
    <x:row r="6" s="2" customFormat="1">
      <x:c r="A6" s="2" t="s">
        <x:v>27</x:v>
      </x:c>
      <x:c r="B6" s="2" t="s">
        <x:v>28</x:v>
      </x:c>
      <x:c r="C6" s="2" t="s">
        <x:v>12</x:v>
      </x:c>
      <x:c r="D6" s="2" t="s">
        <x:v>29</x:v>
      </x:c>
      <x:c r="E6" s="2">
        <x:v>3</x:v>
      </x:c>
      <x:c r="F6" s="2">
        <x:v>3</x:v>
      </x:c>
      <x:c r="G6" s="2">
        <x:v>25000</x:v>
      </x:c>
      <x:c r="H6" s="2">
        <x:v>551</x:v>
      </x:c>
      <x:c r="I6" s="2" t="s">
        <x:v>19</x:v>
      </x:c>
      <x:c r="J6" s="2" t="s">
        <x:v>20</x:v>
      </x:c>
    </x:row>
    <x:row r="7" s="2" customFormat="1">
      <x:c r="A7" s="2" t="s">
        <x:v>30</x:v>
      </x:c>
      <x:c r="B7" s="2" t="s">
        <x:v>28</x:v>
      </x:c>
      <x:c r="C7" s="2" t="s">
        <x:v>31</x:v>
      </x:c>
      <x:c r="D7" s="2" t="s">
        <x:v>13</x:v>
      </x:c>
      <x:c r="E7" s="2">
        <x:v>2</x:v>
      </x:c>
      <x:c r="F7" s="2">
        <x:v>4</x:v>
      </x:c>
      <x:c r="G7" s="2">
        <x:v>45000</x:v>
      </x:c>
      <x:c r="H7" s="2">
        <x:v>1341</x:v>
      </x:c>
      <x:c r="I7" s="2" t="s">
        <x:v>19</x:v>
      </x:c>
      <x:c r="J7" s="2" t="s">
        <x:v>32</x:v>
      </x:c>
    </x:row>
    <x:row r="8" s="2" customFormat="1">
      <x:c r="A8" s="2" t="s">
        <x:v>33</x:v>
      </x:c>
      <x:c r="B8" s="2" t="s">
        <x:v>11</x:v>
      </x:c>
      <x:c r="C8" s="2" t="s">
        <x:v>31</x:v>
      </x:c>
      <x:c r="D8" s="2" t="s">
        <x:v>29</x:v>
      </x:c>
      <x:c r="E8" s="2">
        <x:v>7</x:v>
      </x:c>
      <x:c r="F8" s="2">
        <x:v>7</x:v>
      </x:c>
      <x:c r="G8" s="2">
        <x:v>45000</x:v>
      </x:c>
      <x:c r="H8" s="2">
        <x:v>4574</x:v>
      </x:c>
      <x:c r="I8" s="2" t="s">
        <x:v>19</x:v>
      </x:c>
      <x:c r="J8" s="2" t="s">
        <x:v>15</x:v>
      </x:c>
    </x:row>
    <x:row r="9" s="2" customFormat="1">
      <x:c r="A9" s="2" t="s">
        <x:v>34</x:v>
      </x:c>
      <x:c r="B9" s="2" t="s">
        <x:v>22</x:v>
      </x:c>
      <x:c r="C9" s="2" t="s">
        <x:v>18</x:v>
      </x:c>
      <x:c r="D9" s="2" t="s">
        <x:v>13</x:v>
      </x:c>
      <x:c r="E9" s="2">
        <x:v>7</x:v>
      </x:c>
      <x:c r="F9" s="2">
        <x:v>6</x:v>
      </x:c>
      <x:c r="G9" s="2">
        <x:v>25000</x:v>
      </x:c>
      <x:c r="H9" s="2">
        <x:v>4615</x:v>
      </x:c>
      <x:c r="I9" s="2" t="s">
        <x:v>19</x:v>
      </x:c>
      <x:c r="J9" s="2" t="s">
        <x:v>20</x:v>
      </x:c>
    </x:row>
    <x:row r="10" s="2" customFormat="1">
      <x:c r="A10" s="2" t="s">
        <x:v>35</x:v>
      </x:c>
      <x:c r="B10" s="2" t="s">
        <x:v>28</x:v>
      </x:c>
      <x:c r="C10" s="2" t="s">
        <x:v>12</x:v>
      </x:c>
      <x:c r="D10" s="2" t="s">
        <x:v>29</x:v>
      </x:c>
      <x:c r="E10" s="2">
        <x:v>0</x:v>
      </x:c>
      <x:c r="F10" s="2">
        <x:v>9</x:v>
      </x:c>
      <x:c r="G10" s="2">
        <x:v>60000</x:v>
      </x:c>
      <x:c r="H10" s="2">
        <x:v>456</x:v>
      </x:c>
      <x:c r="I10" s="2" t="s">
        <x:v>19</x:v>
      </x:c>
      <x:c r="J10" s="2" t="s">
        <x:v>20</x:v>
      </x:c>
    </x:row>
    <x:row r="11" s="2" customFormat="1">
      <x:c r="A11" s="2" t="s">
        <x:v>36</x:v>
      </x:c>
      <x:c r="B11" s="2" t="s">
        <x:v>28</x:v>
      </x:c>
      <x:c r="C11" s="2" t="s">
        <x:v>37</x:v>
      </x:c>
      <x:c r="D11" s="2" t="s">
        <x:v>29</x:v>
      </x:c>
      <x:c r="E11" s="2">
        <x:v>5</x:v>
      </x:c>
      <x:c r="F11" s="2">
        <x:v>7</x:v>
      </x:c>
      <x:c r="G11" s="2">
        <x:v>18000</x:v>
      </x:c>
      <x:c r="H11" s="2">
        <x:v>4612</x:v>
      </x:c>
      <x:c r="I11" s="2" t="s">
        <x:v>19</x:v>
      </x:c>
      <x:c r="J11" s="2" t="s">
        <x:v>15</x:v>
      </x:c>
    </x:row>
    <x:row r="12" s="2" customFormat="1">
      <x:c r="A12" s="2" t="s">
        <x:v>38</x:v>
      </x:c>
      <x:c r="B12" s="2" t="s">
        <x:v>22</x:v>
      </x:c>
      <x:c r="C12" s="2" t="s">
        <x:v>25</x:v>
      </x:c>
      <x:c r="D12" s="2" t="s">
        <x:v>29</x:v>
      </x:c>
      <x:c r="E12" s="2">
        <x:v>6</x:v>
      </x:c>
      <x:c r="F12" s="2">
        <x:v>4</x:v>
      </x:c>
      <x:c r="G12" s="2">
        <x:v>60000</x:v>
      </x:c>
      <x:c r="H12" s="2">
        <x:v>4779</x:v>
      </x:c>
      <x:c r="I12" s="2" t="s">
        <x:v>19</x:v>
      </x:c>
      <x:c r="J12" s="2" t="s">
        <x:v>32</x:v>
      </x:c>
    </x:row>
    <x:row r="13" s="2" customFormat="1">
      <x:c r="A13" s="2" t="s">
        <x:v>39</x:v>
      </x:c>
      <x:c r="B13" s="2" t="s">
        <x:v>28</x:v>
      </x:c>
      <x:c r="C13" s="2" t="s">
        <x:v>18</x:v>
      </x:c>
      <x:c r="D13" s="2" t="s">
        <x:v>26</x:v>
      </x:c>
      <x:c r="E13" s="2">
        <x:v>1</x:v>
      </x:c>
      <x:c r="F13" s="2">
        <x:v>1</x:v>
      </x:c>
      <x:c r="G13" s="2">
        <x:v>60000</x:v>
      </x:c>
      <x:c r="H13" s="2">
        <x:v>759</x:v>
      </x:c>
      <x:c r="I13" s="2" t="s">
        <x:v>14</x:v>
      </x:c>
      <x:c r="J13" s="2" t="s">
        <x:v>32</x:v>
      </x:c>
    </x:row>
    <x:row r="14" s="2" customFormat="1">
      <x:c r="A14" s="2" t="s">
        <x:v>40</x:v>
      </x:c>
      <x:c r="B14" s="2" t="s">
        <x:v>11</x:v>
      </x:c>
      <x:c r="C14" s="2" t="s">
        <x:v>18</x:v>
      </x:c>
      <x:c r="D14" s="2" t="s">
        <x:v>13</x:v>
      </x:c>
      <x:c r="E14" s="2">
        <x:v>4</x:v>
      </x:c>
      <x:c r="F14" s="2">
        <x:v>4</x:v>
      </x:c>
      <x:c r="G14" s="2">
        <x:v>60000</x:v>
      </x:c>
      <x:c r="H14" s="2">
        <x:v>3345</x:v>
      </x:c>
      <x:c r="I14" s="2" t="s">
        <x:v>14</x:v>
      </x:c>
      <x:c r="J14" s="2" t="s">
        <x:v>20</x:v>
      </x:c>
    </x:row>
    <x:row r="15" s="2" customFormat="1">
      <x:c r="A15" s="2" t="s">
        <x:v>41</x:v>
      </x:c>
      <x:c r="B15" s="2" t="s">
        <x:v>11</x:v>
      </x:c>
      <x:c r="C15" s="2" t="s">
        <x:v>25</x:v>
      </x:c>
      <x:c r="D15" s="2" t="s">
        <x:v>26</x:v>
      </x:c>
      <x:c r="E15" s="2">
        <x:v>4</x:v>
      </x:c>
      <x:c r="F15" s="2">
        <x:v>9</x:v>
      </x:c>
      <x:c r="G15" s="2">
        <x:v>60000</x:v>
      </x:c>
      <x:c r="H15" s="2">
        <x:v>4560</x:v>
      </x:c>
      <x:c r="I15" s="2" t="s">
        <x:v>19</x:v>
      </x:c>
      <x:c r="J15" s="2" t="s">
        <x:v>23</x:v>
      </x:c>
    </x:row>
    <x:row r="16" s="2" customFormat="1">
      <x:c r="A16" s="2" t="s">
        <x:v>42</x:v>
      </x:c>
      <x:c r="B16" s="2" t="s">
        <x:v>11</x:v>
      </x:c>
      <x:c r="C16" s="2" t="s">
        <x:v>25</x:v>
      </x:c>
      <x:c r="D16" s="2" t="s">
        <x:v>26</x:v>
      </x:c>
      <x:c r="E16" s="2">
        <x:v>0</x:v>
      </x:c>
      <x:c r="F16" s="2">
        <x:v>6</x:v>
      </x:c>
      <x:c r="G16" s="2">
        <x:v>35000</x:v>
      </x:c>
      <x:c r="H16" s="2">
        <x:v>20</x:v>
      </x:c>
      <x:c r="I16" s="2" t="s">
        <x:v>14</x:v>
      </x:c>
      <x:c r="J16" s="2" t="s">
        <x:v>20</x:v>
      </x:c>
    </x:row>
    <x:row r="17" s="2" customFormat="1">
      <x:c r="A17" s="2" t="s">
        <x:v>43</x:v>
      </x:c>
      <x:c r="B17" s="2" t="s">
        <x:v>17</x:v>
      </x:c>
      <x:c r="C17" s="2" t="s">
        <x:v>31</x:v>
      </x:c>
      <x:c r="D17" s="2" t="s">
        <x:v>13</x:v>
      </x:c>
      <x:c r="E17" s="2">
        <x:v>4</x:v>
      </x:c>
      <x:c r="F17" s="2">
        <x:v>9</x:v>
      </x:c>
      <x:c r="G17" s="2">
        <x:v>25000</x:v>
      </x:c>
      <x:c r="H17" s="2">
        <x:v>2594</x:v>
      </x:c>
      <x:c r="I17" s="2" t="s">
        <x:v>19</x:v>
      </x:c>
      <x:c r="J17" s="2" t="s">
        <x:v>20</x:v>
      </x:c>
    </x:row>
    <x:row r="18" s="2" customFormat="1">
      <x:c r="A18" s="2" t="s">
        <x:v>44</x:v>
      </x:c>
      <x:c r="B18" s="2" t="s">
        <x:v>45</x:v>
      </x:c>
      <x:c r="C18" s="2" t="s">
        <x:v>31</x:v>
      </x:c>
      <x:c r="D18" s="2" t="s">
        <x:v>26</x:v>
      </x:c>
      <x:c r="E18" s="2">
        <x:v>5</x:v>
      </x:c>
      <x:c r="F18" s="2">
        <x:v>9</x:v>
      </x:c>
      <x:c r="G18" s="2">
        <x:v>25000</x:v>
      </x:c>
      <x:c r="H18" s="2">
        <x:v>4377</x:v>
      </x:c>
      <x:c r="I18" s="2" t="s">
        <x:v>19</x:v>
      </x:c>
      <x:c r="J18" s="2" t="s">
        <x:v>32</x:v>
      </x:c>
    </x:row>
    <x:row r="19" s="2" customFormat="1">
      <x:c r="A19" s="2" t="s">
        <x:v>46</x:v>
      </x:c>
      <x:c r="B19" s="2" t="s">
        <x:v>45</x:v>
      </x:c>
      <x:c r="C19" s="2" t="s">
        <x:v>31</x:v>
      </x:c>
      <x:c r="D19" s="2" t="s">
        <x:v>29</x:v>
      </x:c>
      <x:c r="E19" s="2">
        <x:v>5</x:v>
      </x:c>
      <x:c r="F19" s="2">
        <x:v>6</x:v>
      </x:c>
      <x:c r="G19" s="2">
        <x:v>45000</x:v>
      </x:c>
      <x:c r="H19" s="2">
        <x:v>3218</x:v>
      </x:c>
      <x:c r="I19" s="2" t="s">
        <x:v>19</x:v>
      </x:c>
      <x:c r="J19" s="2" t="s">
        <x:v>20</x:v>
      </x:c>
    </x:row>
    <x:row r="20" s="2" customFormat="1">
      <x:c r="A20" s="2" t="s">
        <x:v>47</x:v>
      </x:c>
      <x:c r="B20" s="2" t="s">
        <x:v>22</x:v>
      </x:c>
      <x:c r="C20" s="2" t="s">
        <x:v>37</x:v>
      </x:c>
      <x:c r="D20" s="2" t="s">
        <x:v>29</x:v>
      </x:c>
      <x:c r="E20" s="2">
        <x:v>3</x:v>
      </x:c>
      <x:c r="F20" s="2">
        <x:v>7</x:v>
      </x:c>
      <x:c r="G20" s="2">
        <x:v>25000</x:v>
      </x:c>
      <x:c r="H20" s="2">
        <x:v>519</x:v>
      </x:c>
      <x:c r="I20" s="2" t="s">
        <x:v>14</x:v>
      </x:c>
      <x:c r="J20" s="2" t="s">
        <x:v>15</x:v>
      </x:c>
    </x:row>
    <x:row r="21" s="2" customFormat="1">
      <x:c r="A21" s="2" t="s">
        <x:v>48</x:v>
      </x:c>
      <x:c r="B21" s="2" t="s">
        <x:v>11</x:v>
      </x:c>
      <x:c r="C21" s="2" t="s">
        <x:v>25</x:v>
      </x:c>
      <x:c r="D21" s="2" t="s">
        <x:v>29</x:v>
      </x:c>
      <x:c r="E21" s="2">
        <x:v>5</x:v>
      </x:c>
      <x:c r="F21" s="2">
        <x:v>5</x:v>
      </x:c>
      <x:c r="G21" s="2">
        <x:v>35000</x:v>
      </x:c>
      <x:c r="H21" s="2">
        <x:v>1273</x:v>
      </x:c>
      <x:c r="I21" s="2" t="s">
        <x:v>19</x:v>
      </x:c>
      <x:c r="J21" s="2" t="s">
        <x:v>15</x:v>
      </x:c>
    </x:row>
    <x:row r="22" s="2" customFormat="1">
      <x:c r="A22" s="2" t="s">
        <x:v>49</x:v>
      </x:c>
      <x:c r="B22" s="2" t="s">
        <x:v>22</x:v>
      </x:c>
      <x:c r="C22" s="2" t="s">
        <x:v>18</x:v>
      </x:c>
      <x:c r="D22" s="2" t="s">
        <x:v>13</x:v>
      </x:c>
      <x:c r="E22" s="2">
        <x:v>0</x:v>
      </x:c>
      <x:c r="F22" s="2">
        <x:v>10</x:v>
      </x:c>
      <x:c r="G22" s="2">
        <x:v>18000</x:v>
      </x:c>
      <x:c r="H22" s="2">
        <x:v>447</x:v>
      </x:c>
      <x:c r="I22" s="2" t="s">
        <x:v>14</x:v>
      </x:c>
      <x:c r="J22" s="2" t="s">
        <x:v>15</x:v>
      </x:c>
    </x:row>
    <x:row r="23" s="2" customFormat="1">
      <x:c r="A23" s="2" t="s">
        <x:v>50</x:v>
      </x:c>
      <x:c r="B23" s="2" t="s">
        <x:v>17</x:v>
      </x:c>
      <x:c r="C23" s="2" t="s">
        <x:v>25</x:v>
      </x:c>
      <x:c r="D23" s="2" t="s">
        <x:v>26</x:v>
      </x:c>
      <x:c r="E23" s="2">
        <x:v>1</x:v>
      </x:c>
      <x:c r="F23" s="2">
        <x:v>4</x:v>
      </x:c>
      <x:c r="G23" s="2">
        <x:v>25000</x:v>
      </x:c>
      <x:c r="H23" s="2">
        <x:v>24</x:v>
      </x:c>
      <x:c r="I23" s="2" t="s">
        <x:v>19</x:v>
      </x:c>
      <x:c r="J23" s="2" t="s">
        <x:v>32</x:v>
      </x:c>
    </x:row>
    <x:row r="24" s="2" customFormat="1">
      <x:c r="A24" s="2" t="s">
        <x:v>51</x:v>
      </x:c>
      <x:c r="B24" s="2" t="s">
        <x:v>22</x:v>
      </x:c>
      <x:c r="C24" s="2" t="s">
        <x:v>25</x:v>
      </x:c>
      <x:c r="D24" s="2" t="s">
        <x:v>29</x:v>
      </x:c>
      <x:c r="E24" s="2">
        <x:v>7</x:v>
      </x:c>
      <x:c r="F24" s="2">
        <x:v>6</x:v>
      </x:c>
      <x:c r="G24" s="2">
        <x:v>25000</x:v>
      </x:c>
      <x:c r="H24" s="2">
        <x:v>4720</x:v>
      </x:c>
      <x:c r="I24" s="2" t="s">
        <x:v>19</x:v>
      </x:c>
      <x:c r="J24" s="2" t="s">
        <x:v>23</x:v>
      </x:c>
    </x:row>
    <x:row r="25" s="2" customFormat="1">
      <x:c r="A25" s="2" t="s">
        <x:v>52</x:v>
      </x:c>
      <x:c r="B25" s="2" t="s">
        <x:v>28</x:v>
      </x:c>
      <x:c r="C25" s="2" t="s">
        <x:v>37</x:v>
      </x:c>
      <x:c r="D25" s="2" t="s">
        <x:v>13</x:v>
      </x:c>
      <x:c r="E25" s="2">
        <x:v>5</x:v>
      </x:c>
      <x:c r="F25" s="2">
        <x:v>6</x:v>
      </x:c>
      <x:c r="G25" s="2">
        <x:v>45000</x:v>
      </x:c>
      <x:c r="H25" s="2">
        <x:v>1453</x:v>
      </x:c>
      <x:c r="I25" s="2" t="s">
        <x:v>14</x:v>
      </x:c>
      <x:c r="J25" s="2" t="s">
        <x:v>20</x:v>
      </x:c>
    </x:row>
    <x:row r="26" s="2" customFormat="1">
      <x:c r="A26" s="2" t="s">
        <x:v>53</x:v>
      </x:c>
      <x:c r="B26" s="2" t="s">
        <x:v>22</x:v>
      </x:c>
      <x:c r="C26" s="2" t="s">
        <x:v>25</x:v>
      </x:c>
      <x:c r="D26" s="2" t="s">
        <x:v>29</x:v>
      </x:c>
      <x:c r="E26" s="2">
        <x:v>7</x:v>
      </x:c>
      <x:c r="F26" s="2">
        <x:v>7</x:v>
      </x:c>
      <x:c r="G26" s="2">
        <x:v>18000</x:v>
      </x:c>
      <x:c r="H26" s="2">
        <x:v>3437</x:v>
      </x:c>
      <x:c r="I26" s="2" t="s">
        <x:v>19</x:v>
      </x:c>
      <x:c r="J26" s="2" t="s">
        <x:v>23</x:v>
      </x:c>
    </x:row>
    <x:row r="27" s="2" customFormat="1">
      <x:c r="A27" s="2" t="s">
        <x:v>54</x:v>
      </x:c>
      <x:c r="B27" s="2" t="s">
        <x:v>11</x:v>
      </x:c>
      <x:c r="C27" s="2" t="s">
        <x:v>25</x:v>
      </x:c>
      <x:c r="D27" s="2" t="s">
        <x:v>13</x:v>
      </x:c>
      <x:c r="E27" s="2">
        <x:v>7</x:v>
      </x:c>
      <x:c r="F27" s="2">
        <x:v>6</x:v>
      </x:c>
      <x:c r="G27" s="2">
        <x:v>45000</x:v>
      </x:c>
      <x:c r="H27" s="2">
        <x:v>5283</x:v>
      </x:c>
      <x:c r="I27" s="2" t="s">
        <x:v>19</x:v>
      </x:c>
      <x:c r="J27" s="2" t="s">
        <x:v>32</x:v>
      </x:c>
    </x:row>
    <x:row r="28" s="2" customFormat="1">
      <x:c r="A28" s="2" t="s">
        <x:v>55</x:v>
      </x:c>
      <x:c r="B28" s="2" t="s">
        <x:v>28</x:v>
      </x:c>
      <x:c r="C28" s="2" t="s">
        <x:v>31</x:v>
      </x:c>
      <x:c r="D28" s="2" t="s">
        <x:v>26</x:v>
      </x:c>
      <x:c r="E28" s="2">
        <x:v>6</x:v>
      </x:c>
      <x:c r="F28" s="2">
        <x:v>7</x:v>
      </x:c>
      <x:c r="G28" s="2">
        <x:v>18000</x:v>
      </x:c>
      <x:c r="H28" s="2">
        <x:v>2945</x:v>
      </x:c>
      <x:c r="I28" s="2" t="s">
        <x:v>19</x:v>
      </x:c>
      <x:c r="J28" s="2" t="s">
        <x:v>20</x:v>
      </x:c>
    </x:row>
    <x:row r="29" s="2" customFormat="1">
      <x:c r="A29" s="2" t="s">
        <x:v>56</x:v>
      </x:c>
      <x:c r="B29" s="2" t="s">
        <x:v>11</x:v>
      </x:c>
      <x:c r="C29" s="2" t="s">
        <x:v>25</x:v>
      </x:c>
      <x:c r="D29" s="2" t="s">
        <x:v>29</x:v>
      </x:c>
      <x:c r="E29" s="2">
        <x:v>4</x:v>
      </x:c>
      <x:c r="F29" s="2">
        <x:v>10</x:v>
      </x:c>
      <x:c r="G29" s="2">
        <x:v>18000</x:v>
      </x:c>
      <x:c r="H29" s="2">
        <x:v>1331</x:v>
      </x:c>
      <x:c r="I29" s="2" t="s">
        <x:v>19</x:v>
      </x:c>
      <x:c r="J29" s="2" t="s">
        <x:v>32</x:v>
      </x:c>
    </x:row>
    <x:row r="30" s="2" customFormat="1">
      <x:c r="A30" s="2" t="s">
        <x:v>57</x:v>
      </x:c>
      <x:c r="B30" s="2" t="s">
        <x:v>22</x:v>
      </x:c>
      <x:c r="C30" s="2" t="s">
        <x:v>31</x:v>
      </x:c>
      <x:c r="D30" s="2" t="s">
        <x:v>13</x:v>
      </x:c>
      <x:c r="E30" s="2">
        <x:v>2</x:v>
      </x:c>
      <x:c r="F30" s="2">
        <x:v>6</x:v>
      </x:c>
      <x:c r="G30" s="2">
        <x:v>25000</x:v>
      </x:c>
      <x:c r="H30" s="2">
        <x:v>633</x:v>
      </x:c>
      <x:c r="I30" s="2" t="s">
        <x:v>19</x:v>
      </x:c>
      <x:c r="J30" s="2" t="s">
        <x:v>15</x:v>
      </x:c>
    </x:row>
    <x:row r="31" s="2" customFormat="1">
      <x:c r="A31" s="2" t="s">
        <x:v>58</x:v>
      </x:c>
      <x:c r="B31" s="2" t="s">
        <x:v>45</x:v>
      </x:c>
      <x:c r="C31" s="2" t="s">
        <x:v>31</x:v>
      </x:c>
      <x:c r="D31" s="2" t="s">
        <x:v>29</x:v>
      </x:c>
      <x:c r="E31" s="2">
        <x:v>7</x:v>
      </x:c>
      <x:c r="F31" s="2">
        <x:v>2</x:v>
      </x:c>
      <x:c r="G31" s="2">
        <x:v>35000</x:v>
      </x:c>
      <x:c r="H31" s="2">
        <x:v>3543</x:v>
      </x:c>
      <x:c r="I31" s="2" t="s">
        <x:v>19</x:v>
      </x:c>
      <x:c r="J31" s="2" t="s">
        <x:v>20</x:v>
      </x:c>
    </x:row>
    <x:row r="32" s="2" customFormat="1">
      <x:c r="A32" s="2" t="s">
        <x:v>59</x:v>
      </x:c>
      <x:c r="B32" s="2" t="s">
        <x:v>28</x:v>
      </x:c>
      <x:c r="C32" s="2" t="s">
        <x:v>12</x:v>
      </x:c>
      <x:c r="D32" s="2" t="s">
        <x:v>29</x:v>
      </x:c>
      <x:c r="E32" s="2">
        <x:v>3</x:v>
      </x:c>
      <x:c r="F32" s="2">
        <x:v>5</x:v>
      </x:c>
      <x:c r="G32" s="2">
        <x:v>35000</x:v>
      </x:c>
      <x:c r="H32" s="2">
        <x:v>485</x:v>
      </x:c>
      <x:c r="I32" s="2" t="s">
        <x:v>19</x:v>
      </x:c>
      <x:c r="J32" s="2" t="s">
        <x:v>32</x:v>
      </x:c>
    </x:row>
    <x:row r="33" s="2" customFormat="1">
      <x:c r="A33" s="2" t="s">
        <x:v>60</x:v>
      </x:c>
      <x:c r="B33" s="2" t="s">
        <x:v>17</x:v>
      </x:c>
      <x:c r="C33" s="2" t="s">
        <x:v>12</x:v>
      </x:c>
      <x:c r="D33" s="2" t="s">
        <x:v>13</x:v>
      </x:c>
      <x:c r="E33" s="2">
        <x:v>3</x:v>
      </x:c>
      <x:c r="F33" s="2">
        <x:v>3</x:v>
      </x:c>
      <x:c r="G33" s="2">
        <x:v>35000</x:v>
      </x:c>
      <x:c r="H33" s="2">
        <x:v>1169</x:v>
      </x:c>
      <x:c r="I33" s="2" t="s">
        <x:v>19</x:v>
      </x:c>
      <x:c r="J33" s="2" t="s">
        <x:v>23</x:v>
      </x:c>
    </x:row>
    <x:row r="34" s="2" customFormat="1">
      <x:c r="A34" s="2" t="s">
        <x:v>61</x:v>
      </x:c>
      <x:c r="B34" s="2" t="s">
        <x:v>45</x:v>
      </x:c>
      <x:c r="C34" s="2" t="s">
        <x:v>31</x:v>
      </x:c>
      <x:c r="D34" s="2" t="s">
        <x:v>26</x:v>
      </x:c>
      <x:c r="E34" s="2">
        <x:v>7</x:v>
      </x:c>
      <x:c r="F34" s="2">
        <x:v>8</x:v>
      </x:c>
      <x:c r="G34" s="2">
        <x:v>35000</x:v>
      </x:c>
      <x:c r="H34" s="2">
        <x:v>701</x:v>
      </x:c>
      <x:c r="I34" s="2" t="s">
        <x:v>19</x:v>
      </x:c>
      <x:c r="J34" s="2" t="s">
        <x:v>32</x:v>
      </x:c>
    </x:row>
    <x:row r="35" s="2" customFormat="1">
      <x:c r="A35" s="2" t="s">
        <x:v>62</x:v>
      </x:c>
      <x:c r="B35" s="2" t="s">
        <x:v>17</x:v>
      </x:c>
      <x:c r="C35" s="2" t="s">
        <x:v>18</x:v>
      </x:c>
      <x:c r="D35" s="2" t="s">
        <x:v>26</x:v>
      </x:c>
      <x:c r="E35" s="2">
        <x:v>2</x:v>
      </x:c>
      <x:c r="F35" s="2">
        <x:v>6</x:v>
      </x:c>
      <x:c r="G35" s="2">
        <x:v>35000</x:v>
      </x:c>
      <x:c r="H35" s="2">
        <x:v>307</x:v>
      </x:c>
      <x:c r="I35" s="2" t="s">
        <x:v>19</x:v>
      </x:c>
      <x:c r="J35" s="2" t="s">
        <x:v>20</x:v>
      </x:c>
    </x:row>
    <x:row r="36" s="2" customFormat="1">
      <x:c r="A36" s="2" t="s">
        <x:v>63</x:v>
      </x:c>
      <x:c r="B36" s="2" t="s">
        <x:v>28</x:v>
      </x:c>
      <x:c r="C36" s="2" t="s">
        <x:v>12</x:v>
      </x:c>
      <x:c r="D36" s="2" t="s">
        <x:v>13</x:v>
      </x:c>
      <x:c r="E36" s="2">
        <x:v>7</x:v>
      </x:c>
      <x:c r="F36" s="2">
        <x:v>2</x:v>
      </x:c>
      <x:c r="G36" s="2">
        <x:v>25000</x:v>
      </x:c>
      <x:c r="H36" s="2">
        <x:v>5003</x:v>
      </x:c>
      <x:c r="I36" s="2" t="s">
        <x:v>19</x:v>
      </x:c>
      <x:c r="J36" s="2" t="s">
        <x:v>23</x:v>
      </x:c>
    </x:row>
    <x:row r="37" s="2" customFormat="1">
      <x:c r="A37" s="2" t="s">
        <x:v>64</x:v>
      </x:c>
      <x:c r="B37" s="2" t="s">
        <x:v>28</x:v>
      </x:c>
      <x:c r="C37" s="2" t="s">
        <x:v>31</x:v>
      </x:c>
      <x:c r="D37" s="2" t="s">
        <x:v>13</x:v>
      </x:c>
      <x:c r="E37" s="2">
        <x:v>0</x:v>
      </x:c>
      <x:c r="F37" s="2">
        <x:v>4</x:v>
      </x:c>
      <x:c r="G37" s="2">
        <x:v>35000</x:v>
      </x:c>
      <x:c r="H37" s="2">
        <x:v>677</x:v>
      </x:c>
      <x:c r="I37" s="2" t="s">
        <x:v>14</x:v>
      </x:c>
      <x:c r="J37" s="2" t="s">
        <x:v>20</x:v>
      </x:c>
    </x:row>
    <x:row r="38" s="2" customFormat="1">
      <x:c r="A38" s="2" t="s">
        <x:v>65</x:v>
      </x:c>
      <x:c r="B38" s="2" t="s">
        <x:v>17</x:v>
      </x:c>
      <x:c r="C38" s="2" t="s">
        <x:v>12</x:v>
      </x:c>
      <x:c r="D38" s="2" t="s">
        <x:v>29</x:v>
      </x:c>
      <x:c r="E38" s="2">
        <x:v>4</x:v>
      </x:c>
      <x:c r="F38" s="2">
        <x:v>8</x:v>
      </x:c>
      <x:c r="G38" s="2">
        <x:v>45000</x:v>
      </x:c>
      <x:c r="H38" s="2">
        <x:v>5799</x:v>
      </x:c>
      <x:c r="I38" s="2" t="s">
        <x:v>19</x:v>
      </x:c>
      <x:c r="J38" s="2" t="s">
        <x:v>32</x:v>
      </x:c>
    </x:row>
    <x:row r="39" s="2" customFormat="1">
      <x:c r="A39" s="2" t="s">
        <x:v>66</x:v>
      </x:c>
      <x:c r="B39" s="2" t="s">
        <x:v>45</x:v>
      </x:c>
      <x:c r="C39" s="2" t="s">
        <x:v>18</x:v>
      </x:c>
      <x:c r="D39" s="2" t="s">
        <x:v>13</x:v>
      </x:c>
      <x:c r="E39" s="2">
        <x:v>7</x:v>
      </x:c>
      <x:c r="F39" s="2">
        <x:v>1</x:v>
      </x:c>
      <x:c r="G39" s="2">
        <x:v>18000</x:v>
      </x:c>
      <x:c r="H39" s="2">
        <x:v>5789</x:v>
      </x:c>
      <x:c r="I39" s="2" t="s">
        <x:v>19</x:v>
      </x:c>
      <x:c r="J39" s="2" t="s">
        <x:v>23</x:v>
      </x:c>
    </x:row>
    <x:row r="40" s="2" customFormat="1">
      <x:c r="A40" s="2" t="s">
        <x:v>67</x:v>
      </x:c>
      <x:c r="B40" s="2" t="s">
        <x:v>17</x:v>
      </x:c>
      <x:c r="C40" s="2" t="s">
        <x:v>18</x:v>
      </x:c>
      <x:c r="D40" s="2" t="s">
        <x:v>26</x:v>
      </x:c>
      <x:c r="E40" s="2">
        <x:v>0</x:v>
      </x:c>
      <x:c r="F40" s="2">
        <x:v>6</x:v>
      </x:c>
      <x:c r="G40" s="2">
        <x:v>18000</x:v>
      </x:c>
      <x:c r="H40" s="2">
        <x:v>701</x:v>
      </x:c>
      <x:c r="I40" s="2" t="s">
        <x:v>19</x:v>
      </x:c>
      <x:c r="J40" s="2" t="s">
        <x:v>23</x:v>
      </x:c>
    </x:row>
    <x:row r="41" s="2" customFormat="1">
      <x:c r="A41" s="2" t="s">
        <x:v>68</x:v>
      </x:c>
      <x:c r="B41" s="2" t="s">
        <x:v>22</x:v>
      </x:c>
      <x:c r="C41" s="2" t="s">
        <x:v>37</x:v>
      </x:c>
      <x:c r="D41" s="2" t="s">
        <x:v>26</x:v>
      </x:c>
      <x:c r="E41" s="2">
        <x:v>4</x:v>
      </x:c>
      <x:c r="F41" s="2">
        <x:v>1</x:v>
      </x:c>
      <x:c r="G41" s="2">
        <x:v>18000</x:v>
      </x:c>
      <x:c r="H41" s="2">
        <x:v>2591</x:v>
      </x:c>
      <x:c r="I41" s="2" t="s">
        <x:v>19</x:v>
      </x:c>
      <x:c r="J41" s="2" t="s">
        <x:v>20</x:v>
      </x:c>
    </x:row>
    <x:row r="42" s="2" customFormat="1">
      <x:c r="A42" s="2" t="s">
        <x:v>69</x:v>
      </x:c>
      <x:c r="B42" s="2" t="s">
        <x:v>22</x:v>
      </x:c>
      <x:c r="C42" s="2" t="s">
        <x:v>37</x:v>
      </x:c>
      <x:c r="D42" s="2" t="s">
        <x:v>13</x:v>
      </x:c>
      <x:c r="E42" s="2">
        <x:v>2</x:v>
      </x:c>
      <x:c r="F42" s="2">
        <x:v>5</x:v>
      </x:c>
      <x:c r="G42" s="2">
        <x:v>45000</x:v>
      </x:c>
      <x:c r="H42" s="2">
        <x:v>1451</x:v>
      </x:c>
      <x:c r="I42" s="2" t="s">
        <x:v>14</x:v>
      </x:c>
      <x:c r="J42" s="2" t="s">
        <x:v>20</x:v>
      </x:c>
    </x:row>
    <x:row r="43" s="2" customFormat="1">
      <x:c r="A43" s="2" t="s">
        <x:v>70</x:v>
      </x:c>
      <x:c r="B43" s="2" t="s">
        <x:v>28</x:v>
      </x:c>
      <x:c r="C43" s="2" t="s">
        <x:v>37</x:v>
      </x:c>
      <x:c r="D43" s="2" t="s">
        <x:v>13</x:v>
      </x:c>
      <x:c r="E43" s="2">
        <x:v>6</x:v>
      </x:c>
      <x:c r="F43" s="2">
        <x:v>3</x:v>
      </x:c>
      <x:c r="G43" s="2">
        <x:v>25000</x:v>
      </x:c>
      <x:c r="H43" s="2">
        <x:v>3566</x:v>
      </x:c>
      <x:c r="I43" s="2" t="s">
        <x:v>19</x:v>
      </x:c>
      <x:c r="J43" s="2" t="s">
        <x:v>23</x:v>
      </x:c>
    </x:row>
    <x:row r="44" s="2" customFormat="1">
      <x:c r="A44" s="2" t="s">
        <x:v>71</x:v>
      </x:c>
      <x:c r="B44" s="2" t="s">
        <x:v>45</x:v>
      </x:c>
      <x:c r="C44" s="2" t="s">
        <x:v>25</x:v>
      </x:c>
      <x:c r="D44" s="2" t="s">
        <x:v>13</x:v>
      </x:c>
      <x:c r="E44" s="2">
        <x:v>2</x:v>
      </x:c>
      <x:c r="F44" s="2">
        <x:v>2</x:v>
      </x:c>
      <x:c r="G44" s="2">
        <x:v>18000</x:v>
      </x:c>
      <x:c r="H44" s="2">
        <x:v>572</x:v>
      </x:c>
      <x:c r="I44" s="2" t="s">
        <x:v>19</x:v>
      </x:c>
      <x:c r="J44" s="2" t="s">
        <x:v>20</x:v>
      </x:c>
    </x:row>
    <x:row r="45" s="2" customFormat="1">
      <x:c r="A45" s="2" t="s">
        <x:v>72</x:v>
      </x:c>
      <x:c r="B45" s="2" t="s">
        <x:v>17</x:v>
      </x:c>
      <x:c r="C45" s="2" t="s">
        <x:v>18</x:v>
      </x:c>
      <x:c r="D45" s="2" t="s">
        <x:v>29</x:v>
      </x:c>
      <x:c r="E45" s="2">
        <x:v>5</x:v>
      </x:c>
      <x:c r="F45" s="2">
        <x:v>9</x:v>
      </x:c>
      <x:c r="G45" s="2">
        <x:v>35000</x:v>
      </x:c>
      <x:c r="H45" s="2">
        <x:v>1899</x:v>
      </x:c>
      <x:c r="I45" s="2" t="s">
        <x:v>14</x:v>
      </x:c>
      <x:c r="J45" s="2" t="s">
        <x:v>32</x:v>
      </x:c>
    </x:row>
    <x:row r="46" s="2" customFormat="1">
      <x:c r="A46" s="2" t="s">
        <x:v>73</x:v>
      </x:c>
      <x:c r="B46" s="2" t="s">
        <x:v>17</x:v>
      </x:c>
      <x:c r="C46" s="2" t="s">
        <x:v>12</x:v>
      </x:c>
      <x:c r="D46" s="2" t="s">
        <x:v>29</x:v>
      </x:c>
      <x:c r="E46" s="2">
        <x:v>5</x:v>
      </x:c>
      <x:c r="F46" s="2">
        <x:v>10</x:v>
      </x:c>
      <x:c r="G46" s="2">
        <x:v>18000</x:v>
      </x:c>
      <x:c r="H46" s="2">
        <x:v>5258</x:v>
      </x:c>
      <x:c r="I46" s="2" t="s">
        <x:v>14</x:v>
      </x:c>
      <x:c r="J46" s="2" t="s">
        <x:v>20</x:v>
      </x:c>
    </x:row>
    <x:row r="47" s="2" customFormat="1">
      <x:c r="A47" s="2" t="s">
        <x:v>74</x:v>
      </x:c>
      <x:c r="B47" s="2" t="s">
        <x:v>17</x:v>
      </x:c>
      <x:c r="C47" s="2" t="s">
        <x:v>37</x:v>
      </x:c>
      <x:c r="D47" s="2" t="s">
        <x:v>13</x:v>
      </x:c>
      <x:c r="E47" s="2">
        <x:v>4</x:v>
      </x:c>
      <x:c r="F47" s="2">
        <x:v>2</x:v>
      </x:c>
      <x:c r="G47" s="2">
        <x:v>35000</x:v>
      </x:c>
      <x:c r="H47" s="2">
        <x:v>1713</x:v>
      </x:c>
      <x:c r="I47" s="2" t="s">
        <x:v>19</x:v>
      </x:c>
      <x:c r="J47" s="2" t="s">
        <x:v>15</x:v>
      </x:c>
    </x:row>
    <x:row r="48" s="2" customFormat="1">
      <x:c r="A48" s="2" t="s">
        <x:v>75</x:v>
      </x:c>
      <x:c r="B48" s="2" t="s">
        <x:v>28</x:v>
      </x:c>
      <x:c r="C48" s="2" t="s">
        <x:v>37</x:v>
      </x:c>
      <x:c r="D48" s="2" t="s">
        <x:v>13</x:v>
      </x:c>
      <x:c r="E48" s="2">
        <x:v>2</x:v>
      </x:c>
      <x:c r="F48" s="2">
        <x:v>10</x:v>
      </x:c>
      <x:c r="G48" s="2">
        <x:v>18000</x:v>
      </x:c>
      <x:c r="H48" s="2">
        <x:v>233</x:v>
      </x:c>
      <x:c r="I48" s="2" t="s">
        <x:v>19</x:v>
      </x:c>
      <x:c r="J48" s="2" t="s">
        <x:v>23</x:v>
      </x:c>
    </x:row>
    <x:row r="49" s="2" customFormat="1">
      <x:c r="A49" s="2" t="s">
        <x:v>76</x:v>
      </x:c>
      <x:c r="B49" s="2" t="s">
        <x:v>22</x:v>
      </x:c>
      <x:c r="C49" s="2" t="s">
        <x:v>12</x:v>
      </x:c>
      <x:c r="D49" s="2" t="s">
        <x:v>13</x:v>
      </x:c>
      <x:c r="E49" s="2">
        <x:v>4</x:v>
      </x:c>
      <x:c r="F49" s="2">
        <x:v>3</x:v>
      </x:c>
      <x:c r="G49" s="2">
        <x:v>25000</x:v>
      </x:c>
      <x:c r="H49" s="2">
        <x:v>2007</x:v>
      </x:c>
      <x:c r="I49" s="2" t="s">
        <x:v>14</x:v>
      </x:c>
      <x:c r="J49" s="2" t="s">
        <x:v>32</x:v>
      </x:c>
    </x:row>
    <x:row r="50" s="2" customFormat="1">
      <x:c r="A50" s="2" t="s">
        <x:v>77</x:v>
      </x:c>
      <x:c r="B50" s="2" t="s">
        <x:v>45</x:v>
      </x:c>
      <x:c r="C50" s="2" t="s">
        <x:v>31</x:v>
      </x:c>
      <x:c r="D50" s="2" t="s">
        <x:v>29</x:v>
      </x:c>
      <x:c r="E50" s="2">
        <x:v>0</x:v>
      </x:c>
      <x:c r="F50" s="2">
        <x:v>3</x:v>
      </x:c>
      <x:c r="G50" s="2">
        <x:v>60000</x:v>
      </x:c>
      <x:c r="H50" s="2">
        <x:v>1005</x:v>
      </x:c>
      <x:c r="I50" s="2" t="s">
        <x:v>19</x:v>
      </x:c>
      <x:c r="J50" s="2" t="s">
        <x:v>32</x:v>
      </x:c>
    </x:row>
    <x:row r="51" s="2" customFormat="1">
      <x:c r="A51" s="2" t="s">
        <x:v>78</x:v>
      </x:c>
      <x:c r="B51" s="2" t="s">
        <x:v>28</x:v>
      </x:c>
      <x:c r="C51" s="2" t="s">
        <x:v>37</x:v>
      </x:c>
      <x:c r="D51" s="2" t="s">
        <x:v>26</x:v>
      </x:c>
      <x:c r="E51" s="2">
        <x:v>2</x:v>
      </x:c>
      <x:c r="F51" s="2">
        <x:v>9</x:v>
      </x:c>
      <x:c r="G51" s="2">
        <x:v>45000</x:v>
      </x:c>
      <x:c r="H51" s="2">
        <x:v>157</x:v>
      </x:c>
      <x:c r="I51" s="2" t="s">
        <x:v>14</x:v>
      </x:c>
      <x:c r="J51" s="2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9.5546875" customWidth="1"/>
    <x:col min="2" max="2" width="19.6640625" customWidth="1"/>
    <x:col min="3" max="3" width="7.5546875" customWidth="1"/>
    <x:col min="4" max="4" width="11.77734375" customWidth="1"/>
    <x:col min="5" max="5" width="12.44140625" customWidth="1"/>
    <x:col min="6" max="6" width="10.44140625" customWidth="1"/>
    <x:col min="7" max="7" width="11.77734375" customWidth="1"/>
    <x:col min="8" max="8" width="17.5546875" customWidth="1"/>
    <x:col min="9" max="9" width="11.44140625" customWidth="1"/>
    <x:col min="10" max="10" width="15.6640625" customWidth="1"/>
    <x:col min="11" max="12" width="17.77734375" customWidth="1"/>
    <x:col min="13" max="13" width="10.109375" customWidth="1"/>
  </x:cols>
  <x:sheetData>
    <x:row r="1" ht="18">
      <x:c r="A1" s="34" t="s">
        <x:v>0</x:v>
      </x:c>
      <x:c r="B1" s="34" t="s">
        <x:v>1</x:v>
      </x:c>
      <x:c r="C1" s="34" t="s">
        <x:v>2</x:v>
      </x:c>
      <x:c r="D1" s="34" t="s">
        <x:v>3</x:v>
      </x:c>
      <x:c r="E1" s="34" t="s">
        <x:v>4</x:v>
      </x:c>
      <x:c r="F1" s="34" t="s">
        <x:v>5</x:v>
      </x:c>
      <x:c r="G1" s="34" t="s">
        <x:v>6</x:v>
      </x:c>
      <x:c r="H1" s="34" t="s">
        <x:v>7</x:v>
      </x:c>
      <x:c r="I1" s="34" t="s">
        <x:v>8</x:v>
      </x:c>
      <x:c r="J1" s="35" t="s">
        <x:v>9</x:v>
      </x:c>
    </x:row>
    <x:row r="2">
      <x:c r="A2" s="36" t="s">
        <x:v>10</x:v>
      </x:c>
      <x:c r="B2" s="36" t="s">
        <x:v>11</x:v>
      </x:c>
      <x:c r="C2" s="36" t="s">
        <x:v>12</x:v>
      </x:c>
      <x:c r="D2" s="36" t="s">
        <x:v>13</x:v>
      </x:c>
      <x:c r="E2" s="36">
        <x:v>5</x:v>
      </x:c>
      <x:c r="F2" s="36">
        <x:v>2</x:v>
      </x:c>
      <x:c r="G2" s="36">
        <x:v>45000</x:v>
      </x:c>
      <x:c r="H2" s="14">
        <x:v>1504</x:v>
      </x:c>
      <x:c r="I2" s="36" t="s">
        <x:v>14</x:v>
      </x:c>
      <x:c r="J2" s="36" t="s">
        <x:v>15</x:v>
      </x:c>
    </x:row>
    <x:row r="3">
      <x:c r="A3" s="36" t="s">
        <x:v>16</x:v>
      </x:c>
      <x:c r="B3" s="36" t="s">
        <x:v>17</x:v>
      </x:c>
      <x:c r="C3" s="36" t="s">
        <x:v>18</x:v>
      </x:c>
      <x:c r="D3" s="36" t="s">
        <x:v>13</x:v>
      </x:c>
      <x:c r="E3" s="36">
        <x:v>6</x:v>
      </x:c>
      <x:c r="F3" s="36">
        <x:v>4</x:v>
      </x:c>
      <x:c r="G3" s="36">
        <x:v>45000</x:v>
      </x:c>
      <x:c r="H3" s="14">
        <x:v>3418</x:v>
      </x:c>
      <x:c r="I3" s="36" t="s">
        <x:v>19</x:v>
      </x:c>
      <x:c r="J3" s="36" t="s">
        <x:v>20</x:v>
      </x:c>
    </x:row>
    <x:row r="4">
      <x:c r="A4" s="36" t="s">
        <x:v>21</x:v>
      </x:c>
      <x:c r="B4" s="36" t="s">
        <x:v>22</x:v>
      </x:c>
      <x:c r="C4" s="36" t="s">
        <x:v>18</x:v>
      </x:c>
      <x:c r="D4" s="36" t="s">
        <x:v>13</x:v>
      </x:c>
      <x:c r="E4" s="36">
        <x:v>4</x:v>
      </x:c>
      <x:c r="F4" s="36">
        <x:v>5</x:v>
      </x:c>
      <x:c r="G4" s="36">
        <x:v>25000</x:v>
      </x:c>
      <x:c r="H4" s="14">
        <x:v>3162</x:v>
      </x:c>
      <x:c r="I4" s="36" t="s">
        <x:v>14</x:v>
      </x:c>
      <x:c r="J4" s="36" t="s">
        <x:v>23</x:v>
      </x:c>
    </x:row>
    <x:row r="5">
      <x:c r="A5" s="36" t="s">
        <x:v>24</x:v>
      </x:c>
      <x:c r="B5" s="36" t="s">
        <x:v>17</x:v>
      </x:c>
      <x:c r="C5" s="36" t="s">
        <x:v>25</x:v>
      </x:c>
      <x:c r="D5" s="36" t="s">
        <x:v>26</x:v>
      </x:c>
      <x:c r="E5" s="36">
        <x:v>5</x:v>
      </x:c>
      <x:c r="F5" s="36">
        <x:v>8</x:v>
      </x:c>
      <x:c r="G5" s="36">
        <x:v>25000</x:v>
      </x:c>
      <x:c r="H5" s="14">
        <x:v>606</x:v>
      </x:c>
      <x:c r="I5" s="36" t="s">
        <x:v>19</x:v>
      </x:c>
      <x:c r="J5" s="36" t="s">
        <x:v>20</x:v>
      </x:c>
      <x:c r="K5" s="11"/>
      <x:c r="L5" s="11"/>
    </x:row>
    <x:row r="6">
      <x:c r="A6" s="36" t="s">
        <x:v>27</x:v>
      </x:c>
      <x:c r="B6" s="36" t="s">
        <x:v>28</x:v>
      </x:c>
      <x:c r="C6" s="36" t="s">
        <x:v>12</x:v>
      </x:c>
      <x:c r="D6" s="36" t="s">
        <x:v>29</x:v>
      </x:c>
      <x:c r="E6" s="36">
        <x:v>3</x:v>
      </x:c>
      <x:c r="F6" s="36">
        <x:v>3</x:v>
      </x:c>
      <x:c r="G6" s="36">
        <x:v>25000</x:v>
      </x:c>
      <x:c r="H6" s="14">
        <x:v>551</x:v>
      </x:c>
      <x:c r="I6" s="36" t="s">
        <x:v>19</x:v>
      </x:c>
      <x:c r="J6" s="36" t="s">
        <x:v>20</x:v>
      </x:c>
      <x:c r="K6" s="11"/>
      <x:c r="L6" s="11"/>
    </x:row>
    <x:row r="7">
      <x:c r="A7" s="36" t="s">
        <x:v>30</x:v>
      </x:c>
      <x:c r="B7" s="36" t="s">
        <x:v>28</x:v>
      </x:c>
      <x:c r="C7" s="36" t="s">
        <x:v>31</x:v>
      </x:c>
      <x:c r="D7" s="36" t="s">
        <x:v>13</x:v>
      </x:c>
      <x:c r="E7" s="36">
        <x:v>2</x:v>
      </x:c>
      <x:c r="F7" s="36">
        <x:v>4</x:v>
      </x:c>
      <x:c r="G7" s="36">
        <x:v>45000</x:v>
      </x:c>
      <x:c r="H7" s="14">
        <x:v>1341</x:v>
      </x:c>
      <x:c r="I7" s="36" t="s">
        <x:v>19</x:v>
      </x:c>
      <x:c r="J7" s="36" t="s">
        <x:v>32</x:v>
      </x:c>
      <x:c r="K7" s="11"/>
      <x:c r="L7" s="11"/>
    </x:row>
    <x:row r="8">
      <x:c r="A8" s="36" t="s">
        <x:v>33</x:v>
      </x:c>
      <x:c r="B8" s="36" t="s">
        <x:v>11</x:v>
      </x:c>
      <x:c r="C8" s="36" t="s">
        <x:v>31</x:v>
      </x:c>
      <x:c r="D8" s="36" t="s">
        <x:v>29</x:v>
      </x:c>
      <x:c r="E8" s="36">
        <x:v>7</x:v>
      </x:c>
      <x:c r="F8" s="36">
        <x:v>7</x:v>
      </x:c>
      <x:c r="G8" s="36">
        <x:v>45000</x:v>
      </x:c>
      <x:c r="H8" s="14">
        <x:v>4574</x:v>
      </x:c>
      <x:c r="I8" s="36" t="s">
        <x:v>19</x:v>
      </x:c>
      <x:c r="J8" s="36" t="s">
        <x:v>15</x:v>
      </x:c>
      <x:c r="K8" s="11"/>
      <x:c r="L8" s="11"/>
    </x:row>
    <x:row r="9">
      <x:c r="A9" s="36" t="s">
        <x:v>34</x:v>
      </x:c>
      <x:c r="B9" s="36" t="s">
        <x:v>22</x:v>
      </x:c>
      <x:c r="C9" s="36" t="s">
        <x:v>18</x:v>
      </x:c>
      <x:c r="D9" s="36" t="s">
        <x:v>13</x:v>
      </x:c>
      <x:c r="E9" s="36">
        <x:v>7</x:v>
      </x:c>
      <x:c r="F9" s="36">
        <x:v>6</x:v>
      </x:c>
      <x:c r="G9" s="36">
        <x:v>25000</x:v>
      </x:c>
      <x:c r="H9" s="14">
        <x:v>4615</x:v>
      </x:c>
      <x:c r="I9" s="36" t="s">
        <x:v>19</x:v>
      </x:c>
      <x:c r="J9" s="36" t="s">
        <x:v>20</x:v>
      </x:c>
      <x:c r="K9" s="11"/>
      <x:c r="L9" s="11"/>
    </x:row>
    <x:row r="10">
      <x:c r="A10" s="36" t="s">
        <x:v>35</x:v>
      </x:c>
      <x:c r="B10" s="36" t="s">
        <x:v>28</x:v>
      </x:c>
      <x:c r="C10" s="36" t="s">
        <x:v>12</x:v>
      </x:c>
      <x:c r="D10" s="36" t="s">
        <x:v>29</x:v>
      </x:c>
      <x:c r="E10" s="36">
        <x:v>0</x:v>
      </x:c>
      <x:c r="F10" s="36">
        <x:v>9</x:v>
      </x:c>
      <x:c r="G10" s="36">
        <x:v>60000</x:v>
      </x:c>
      <x:c r="H10" s="14">
        <x:v>456</x:v>
      </x:c>
      <x:c r="I10" s="36" t="s">
        <x:v>19</x:v>
      </x:c>
      <x:c r="J10" s="36" t="s">
        <x:v>20</x:v>
      </x:c>
      <x:c r="K10" s="11"/>
      <x:c r="L10" s="11"/>
    </x:row>
    <x:row r="11">
      <x:c r="A11" s="36" t="s">
        <x:v>36</x:v>
      </x:c>
      <x:c r="B11" s="36" t="s">
        <x:v>28</x:v>
      </x:c>
      <x:c r="C11" s="36" t="s">
        <x:v>37</x:v>
      </x:c>
      <x:c r="D11" s="36" t="s">
        <x:v>29</x:v>
      </x:c>
      <x:c r="E11" s="36">
        <x:v>5</x:v>
      </x:c>
      <x:c r="F11" s="36">
        <x:v>7</x:v>
      </x:c>
      <x:c r="G11" s="36">
        <x:v>18000</x:v>
      </x:c>
      <x:c r="H11" s="14">
        <x:v>4612</x:v>
      </x:c>
      <x:c r="I11" s="36" t="s">
        <x:v>19</x:v>
      </x:c>
      <x:c r="J11" s="36" t="s">
        <x:v>15</x:v>
      </x:c>
      <x:c r="K11" s="11"/>
      <x:c r="L11" s="11"/>
    </x:row>
    <x:row r="12">
      <x:c r="A12" s="36" t="s">
        <x:v>38</x:v>
      </x:c>
      <x:c r="B12" s="36" t="s">
        <x:v>22</x:v>
      </x:c>
      <x:c r="C12" s="36" t="s">
        <x:v>25</x:v>
      </x:c>
      <x:c r="D12" s="36" t="s">
        <x:v>29</x:v>
      </x:c>
      <x:c r="E12" s="36">
        <x:v>6</x:v>
      </x:c>
      <x:c r="F12" s="36">
        <x:v>4</x:v>
      </x:c>
      <x:c r="G12" s="36">
        <x:v>60000</x:v>
      </x:c>
      <x:c r="H12" s="14">
        <x:v>4779</x:v>
      </x:c>
      <x:c r="I12" s="36" t="s">
        <x:v>19</x:v>
      </x:c>
      <x:c r="J12" s="36" t="s">
        <x:v>32</x:v>
      </x:c>
      <x:c r="K12" s="11"/>
      <x:c r="L12" s="11"/>
    </x:row>
    <x:row r="13">
      <x:c r="A13" s="36" t="s">
        <x:v>39</x:v>
      </x:c>
      <x:c r="B13" s="36" t="s">
        <x:v>28</x:v>
      </x:c>
      <x:c r="C13" s="36" t="s">
        <x:v>18</x:v>
      </x:c>
      <x:c r="D13" s="36" t="s">
        <x:v>26</x:v>
      </x:c>
      <x:c r="E13" s="36">
        <x:v>1</x:v>
      </x:c>
      <x:c r="F13" s="36">
        <x:v>1</x:v>
      </x:c>
      <x:c r="G13" s="36">
        <x:v>60000</x:v>
      </x:c>
      <x:c r="H13" s="14">
        <x:v>759</x:v>
      </x:c>
      <x:c r="I13" s="36" t="s">
        <x:v>14</x:v>
      </x:c>
      <x:c r="J13" s="36" t="s">
        <x:v>32</x:v>
      </x:c>
      <x:c r="K13" s="11"/>
      <x:c r="L13" s="11"/>
    </x:row>
    <x:row r="14">
      <x:c r="A14" s="36" t="s">
        <x:v>40</x:v>
      </x:c>
      <x:c r="B14" s="36" t="s">
        <x:v>11</x:v>
      </x:c>
      <x:c r="C14" s="36" t="s">
        <x:v>18</x:v>
      </x:c>
      <x:c r="D14" s="36" t="s">
        <x:v>13</x:v>
      </x:c>
      <x:c r="E14" s="36">
        <x:v>4</x:v>
      </x:c>
      <x:c r="F14" s="36">
        <x:v>4</x:v>
      </x:c>
      <x:c r="G14" s="36">
        <x:v>60000</x:v>
      </x:c>
      <x:c r="H14" s="14">
        <x:v>3345</x:v>
      </x:c>
      <x:c r="I14" s="36" t="s">
        <x:v>14</x:v>
      </x:c>
      <x:c r="J14" s="36" t="s">
        <x:v>20</x:v>
      </x:c>
      <x:c r="K14" s="11"/>
      <x:c r="L14" s="11"/>
    </x:row>
    <x:row r="15">
      <x:c r="A15" s="36" t="s">
        <x:v>41</x:v>
      </x:c>
      <x:c r="B15" s="36" t="s">
        <x:v>11</x:v>
      </x:c>
      <x:c r="C15" s="36" t="s">
        <x:v>25</x:v>
      </x:c>
      <x:c r="D15" s="36" t="s">
        <x:v>26</x:v>
      </x:c>
      <x:c r="E15" s="36">
        <x:v>4</x:v>
      </x:c>
      <x:c r="F15" s="36">
        <x:v>9</x:v>
      </x:c>
      <x:c r="G15" s="36">
        <x:v>60000</x:v>
      </x:c>
      <x:c r="H15" s="14">
        <x:v>4560</x:v>
      </x:c>
      <x:c r="I15" s="36" t="s">
        <x:v>19</x:v>
      </x:c>
      <x:c r="J15" s="36" t="s">
        <x:v>23</x:v>
      </x:c>
      <x:c r="K15" s="11"/>
      <x:c r="L15" s="11"/>
    </x:row>
    <x:row r="16">
      <x:c r="A16" s="36" t="s">
        <x:v>42</x:v>
      </x:c>
      <x:c r="B16" s="36" t="s">
        <x:v>11</x:v>
      </x:c>
      <x:c r="C16" s="36" t="s">
        <x:v>25</x:v>
      </x:c>
      <x:c r="D16" s="36" t="s">
        <x:v>26</x:v>
      </x:c>
      <x:c r="E16" s="36">
        <x:v>0</x:v>
      </x:c>
      <x:c r="F16" s="36">
        <x:v>6</x:v>
      </x:c>
      <x:c r="G16" s="36">
        <x:v>35000</x:v>
      </x:c>
      <x:c r="H16" s="14">
        <x:v>20</x:v>
      </x:c>
      <x:c r="I16" s="36" t="s">
        <x:v>14</x:v>
      </x:c>
      <x:c r="J16" s="36" t="s">
        <x:v>20</x:v>
      </x:c>
      <x:c r="K16" s="11"/>
      <x:c r="L16" s="11"/>
    </x:row>
    <x:row r="17">
      <x:c r="A17" s="36" t="s">
        <x:v>43</x:v>
      </x:c>
      <x:c r="B17" s="36" t="s">
        <x:v>17</x:v>
      </x:c>
      <x:c r="C17" s="36" t="s">
        <x:v>31</x:v>
      </x:c>
      <x:c r="D17" s="36" t="s">
        <x:v>13</x:v>
      </x:c>
      <x:c r="E17" s="36">
        <x:v>4</x:v>
      </x:c>
      <x:c r="F17" s="36">
        <x:v>9</x:v>
      </x:c>
      <x:c r="G17" s="36">
        <x:v>25000</x:v>
      </x:c>
      <x:c r="H17" s="14">
        <x:v>2594</x:v>
      </x:c>
      <x:c r="I17" s="36" t="s">
        <x:v>19</x:v>
      </x:c>
      <x:c r="J17" s="36" t="s">
        <x:v>20</x:v>
      </x:c>
      <x:c r="K17" s="11"/>
      <x:c r="L17" s="11"/>
    </x:row>
    <x:row r="18">
      <x:c r="A18" s="36" t="s">
        <x:v>44</x:v>
      </x:c>
      <x:c r="B18" s="36" t="s">
        <x:v>45</x:v>
      </x:c>
      <x:c r="C18" s="36" t="s">
        <x:v>31</x:v>
      </x:c>
      <x:c r="D18" s="36" t="s">
        <x:v>26</x:v>
      </x:c>
      <x:c r="E18" s="36">
        <x:v>5</x:v>
      </x:c>
      <x:c r="F18" s="36">
        <x:v>9</x:v>
      </x:c>
      <x:c r="G18" s="36">
        <x:v>25000</x:v>
      </x:c>
      <x:c r="H18" s="14">
        <x:v>4377</x:v>
      </x:c>
      <x:c r="I18" s="36" t="s">
        <x:v>19</x:v>
      </x:c>
      <x:c r="J18" s="36" t="s">
        <x:v>32</x:v>
      </x:c>
      <x:c r="K18" s="11"/>
      <x:c r="L18" s="11"/>
    </x:row>
    <x:row r="19">
      <x:c r="A19" s="36" t="s">
        <x:v>46</x:v>
      </x:c>
      <x:c r="B19" s="36" t="s">
        <x:v>45</x:v>
      </x:c>
      <x:c r="C19" s="36" t="s">
        <x:v>31</x:v>
      </x:c>
      <x:c r="D19" s="36" t="s">
        <x:v>29</x:v>
      </x:c>
      <x:c r="E19" s="36">
        <x:v>5</x:v>
      </x:c>
      <x:c r="F19" s="36">
        <x:v>6</x:v>
      </x:c>
      <x:c r="G19" s="36">
        <x:v>45000</x:v>
      </x:c>
      <x:c r="H19" s="14">
        <x:v>3218</x:v>
      </x:c>
      <x:c r="I19" s="36" t="s">
        <x:v>19</x:v>
      </x:c>
      <x:c r="J19" s="36" t="s">
        <x:v>20</x:v>
      </x:c>
      <x:c r="K19" s="11"/>
      <x:c r="L19" s="11"/>
    </x:row>
    <x:row r="20">
      <x:c r="A20" s="36" t="s">
        <x:v>47</x:v>
      </x:c>
      <x:c r="B20" s="36" t="s">
        <x:v>22</x:v>
      </x:c>
      <x:c r="C20" s="36" t="s">
        <x:v>37</x:v>
      </x:c>
      <x:c r="D20" s="36" t="s">
        <x:v>29</x:v>
      </x:c>
      <x:c r="E20" s="36">
        <x:v>3</x:v>
      </x:c>
      <x:c r="F20" s="36">
        <x:v>7</x:v>
      </x:c>
      <x:c r="G20" s="36">
        <x:v>25000</x:v>
      </x:c>
      <x:c r="H20" s="14">
        <x:v>519</x:v>
      </x:c>
      <x:c r="I20" s="36" t="s">
        <x:v>14</x:v>
      </x:c>
      <x:c r="J20" s="36" t="s">
        <x:v>15</x:v>
      </x:c>
      <x:c r="K20" s="11"/>
      <x:c r="L20" s="11"/>
    </x:row>
    <x:row r="21">
      <x:c r="A21" s="36" t="s">
        <x:v>48</x:v>
      </x:c>
      <x:c r="B21" s="36" t="s">
        <x:v>11</x:v>
      </x:c>
      <x:c r="C21" s="36" t="s">
        <x:v>25</x:v>
      </x:c>
      <x:c r="D21" s="36" t="s">
        <x:v>29</x:v>
      </x:c>
      <x:c r="E21" s="36">
        <x:v>5</x:v>
      </x:c>
      <x:c r="F21" s="36">
        <x:v>5</x:v>
      </x:c>
      <x:c r="G21" s="36">
        <x:v>35000</x:v>
      </x:c>
      <x:c r="H21" s="14">
        <x:v>1273</x:v>
      </x:c>
      <x:c r="I21" s="36" t="s">
        <x:v>19</x:v>
      </x:c>
      <x:c r="J21" s="36" t="s">
        <x:v>15</x:v>
      </x:c>
      <x:c r="K21" s="11"/>
      <x:c r="L21" s="11"/>
    </x:row>
    <x:row r="22">
      <x:c r="A22" s="36" t="s">
        <x:v>49</x:v>
      </x:c>
      <x:c r="B22" s="36" t="s">
        <x:v>22</x:v>
      </x:c>
      <x:c r="C22" s="36" t="s">
        <x:v>18</x:v>
      </x:c>
      <x:c r="D22" s="36" t="s">
        <x:v>13</x:v>
      </x:c>
      <x:c r="E22" s="36">
        <x:v>0</x:v>
      </x:c>
      <x:c r="F22" s="36">
        <x:v>10</x:v>
      </x:c>
      <x:c r="G22" s="36">
        <x:v>18000</x:v>
      </x:c>
      <x:c r="H22" s="14">
        <x:v>447</x:v>
      </x:c>
      <x:c r="I22" s="36" t="s">
        <x:v>14</x:v>
      </x:c>
      <x:c r="J22" s="36" t="s">
        <x:v>15</x:v>
      </x:c>
      <x:c r="K22" s="11"/>
      <x:c r="L22" s="11"/>
    </x:row>
    <x:row r="23">
      <x:c r="A23" s="36" t="s">
        <x:v>50</x:v>
      </x:c>
      <x:c r="B23" s="36" t="s">
        <x:v>17</x:v>
      </x:c>
      <x:c r="C23" s="36" t="s">
        <x:v>25</x:v>
      </x:c>
      <x:c r="D23" s="36" t="s">
        <x:v>26</x:v>
      </x:c>
      <x:c r="E23" s="36">
        <x:v>1</x:v>
      </x:c>
      <x:c r="F23" s="36">
        <x:v>4</x:v>
      </x:c>
      <x:c r="G23" s="36">
        <x:v>25000</x:v>
      </x:c>
      <x:c r="H23" s="14">
        <x:v>24</x:v>
      </x:c>
      <x:c r="I23" s="36" t="s">
        <x:v>19</x:v>
      </x:c>
      <x:c r="J23" s="36" t="s">
        <x:v>32</x:v>
      </x:c>
      <x:c r="K23" s="11"/>
      <x:c r="L23" s="11"/>
    </x:row>
    <x:row r="24">
      <x:c r="A24" s="36" t="s">
        <x:v>51</x:v>
      </x:c>
      <x:c r="B24" s="36" t="s">
        <x:v>22</x:v>
      </x:c>
      <x:c r="C24" s="36" t="s">
        <x:v>25</x:v>
      </x:c>
      <x:c r="D24" s="36" t="s">
        <x:v>29</x:v>
      </x:c>
      <x:c r="E24" s="36">
        <x:v>7</x:v>
      </x:c>
      <x:c r="F24" s="36">
        <x:v>6</x:v>
      </x:c>
      <x:c r="G24" s="36">
        <x:v>25000</x:v>
      </x:c>
      <x:c r="H24" s="14">
        <x:v>4720</x:v>
      </x:c>
      <x:c r="I24" s="36" t="s">
        <x:v>19</x:v>
      </x:c>
      <x:c r="J24" s="36" t="s">
        <x:v>23</x:v>
      </x:c>
      <x:c r="K24" s="11"/>
      <x:c r="L24" s="11"/>
    </x:row>
    <x:row r="25">
      <x:c r="A25" s="36" t="s">
        <x:v>52</x:v>
      </x:c>
      <x:c r="B25" s="36" t="s">
        <x:v>28</x:v>
      </x:c>
      <x:c r="C25" s="36" t="s">
        <x:v>37</x:v>
      </x:c>
      <x:c r="D25" s="36" t="s">
        <x:v>13</x:v>
      </x:c>
      <x:c r="E25" s="36">
        <x:v>5</x:v>
      </x:c>
      <x:c r="F25" s="36">
        <x:v>6</x:v>
      </x:c>
      <x:c r="G25" s="36">
        <x:v>45000</x:v>
      </x:c>
      <x:c r="H25" s="14">
        <x:v>1453</x:v>
      </x:c>
      <x:c r="I25" s="36" t="s">
        <x:v>14</x:v>
      </x:c>
      <x:c r="J25" s="36" t="s">
        <x:v>20</x:v>
      </x:c>
      <x:c r="K25" s="11"/>
      <x:c r="L25" s="11"/>
    </x:row>
    <x:row r="26">
      <x:c r="A26" s="36" t="s">
        <x:v>53</x:v>
      </x:c>
      <x:c r="B26" s="36" t="s">
        <x:v>22</x:v>
      </x:c>
      <x:c r="C26" s="36" t="s">
        <x:v>25</x:v>
      </x:c>
      <x:c r="D26" s="36" t="s">
        <x:v>29</x:v>
      </x:c>
      <x:c r="E26" s="36">
        <x:v>7</x:v>
      </x:c>
      <x:c r="F26" s="36">
        <x:v>7</x:v>
      </x:c>
      <x:c r="G26" s="36">
        <x:v>18000</x:v>
      </x:c>
      <x:c r="H26" s="14">
        <x:v>3437</x:v>
      </x:c>
      <x:c r="I26" s="36" t="s">
        <x:v>19</x:v>
      </x:c>
      <x:c r="J26" s="36" t="s">
        <x:v>23</x:v>
      </x:c>
      <x:c r="K26" s="11"/>
      <x:c r="L26" s="11"/>
    </x:row>
    <x:row r="27">
      <x:c r="A27" s="36" t="s">
        <x:v>54</x:v>
      </x:c>
      <x:c r="B27" s="36" t="s">
        <x:v>11</x:v>
      </x:c>
      <x:c r="C27" s="36" t="s">
        <x:v>25</x:v>
      </x:c>
      <x:c r="D27" s="36" t="s">
        <x:v>13</x:v>
      </x:c>
      <x:c r="E27" s="36">
        <x:v>7</x:v>
      </x:c>
      <x:c r="F27" s="36">
        <x:v>6</x:v>
      </x:c>
      <x:c r="G27" s="36">
        <x:v>45000</x:v>
      </x:c>
      <x:c r="H27" s="14">
        <x:v>5283</x:v>
      </x:c>
      <x:c r="I27" s="36" t="s">
        <x:v>19</x:v>
      </x:c>
      <x:c r="J27" s="36" t="s">
        <x:v>32</x:v>
      </x:c>
      <x:c r="K27" s="11"/>
      <x:c r="L27" s="11"/>
    </x:row>
    <x:row r="28">
      <x:c r="A28" s="36" t="s">
        <x:v>55</x:v>
      </x:c>
      <x:c r="B28" s="36" t="s">
        <x:v>28</x:v>
      </x:c>
      <x:c r="C28" s="36" t="s">
        <x:v>31</x:v>
      </x:c>
      <x:c r="D28" s="36" t="s">
        <x:v>26</x:v>
      </x:c>
      <x:c r="E28" s="36">
        <x:v>6</x:v>
      </x:c>
      <x:c r="F28" s="36">
        <x:v>7</x:v>
      </x:c>
      <x:c r="G28" s="36">
        <x:v>18000</x:v>
      </x:c>
      <x:c r="H28" s="14">
        <x:v>2945</x:v>
      </x:c>
      <x:c r="I28" s="36" t="s">
        <x:v>19</x:v>
      </x:c>
      <x:c r="J28" s="36" t="s">
        <x:v>20</x:v>
      </x:c>
      <x:c r="K28" s="11"/>
      <x:c r="L28" s="11"/>
    </x:row>
    <x:row r="29">
      <x:c r="A29" s="36" t="s">
        <x:v>56</x:v>
      </x:c>
      <x:c r="B29" s="36" t="s">
        <x:v>11</x:v>
      </x:c>
      <x:c r="C29" s="36" t="s">
        <x:v>25</x:v>
      </x:c>
      <x:c r="D29" s="36" t="s">
        <x:v>29</x:v>
      </x:c>
      <x:c r="E29" s="36">
        <x:v>4</x:v>
      </x:c>
      <x:c r="F29" s="36">
        <x:v>10</x:v>
      </x:c>
      <x:c r="G29" s="36">
        <x:v>18000</x:v>
      </x:c>
      <x:c r="H29" s="14">
        <x:v>1331</x:v>
      </x:c>
      <x:c r="I29" s="36" t="s">
        <x:v>19</x:v>
      </x:c>
      <x:c r="J29" s="36" t="s">
        <x:v>32</x:v>
      </x:c>
      <x:c r="K29" s="11"/>
      <x:c r="L29" s="11"/>
    </x:row>
    <x:row r="30">
      <x:c r="A30" s="36" t="s">
        <x:v>57</x:v>
      </x:c>
      <x:c r="B30" s="36" t="s">
        <x:v>22</x:v>
      </x:c>
      <x:c r="C30" s="36" t="s">
        <x:v>31</x:v>
      </x:c>
      <x:c r="D30" s="36" t="s">
        <x:v>13</x:v>
      </x:c>
      <x:c r="E30" s="36">
        <x:v>2</x:v>
      </x:c>
      <x:c r="F30" s="36">
        <x:v>6</x:v>
      </x:c>
      <x:c r="G30" s="36">
        <x:v>25000</x:v>
      </x:c>
      <x:c r="H30" s="14">
        <x:v>633</x:v>
      </x:c>
      <x:c r="I30" s="36" t="s">
        <x:v>19</x:v>
      </x:c>
      <x:c r="J30" s="36" t="s">
        <x:v>15</x:v>
      </x:c>
      <x:c r="K30" s="11"/>
      <x:c r="L30" s="11"/>
    </x:row>
    <x:row r="31">
      <x:c r="A31" s="36" t="s">
        <x:v>58</x:v>
      </x:c>
      <x:c r="B31" s="36" t="s">
        <x:v>45</x:v>
      </x:c>
      <x:c r="C31" s="36" t="s">
        <x:v>31</x:v>
      </x:c>
      <x:c r="D31" s="36" t="s">
        <x:v>29</x:v>
      </x:c>
      <x:c r="E31" s="36">
        <x:v>7</x:v>
      </x:c>
      <x:c r="F31" s="36">
        <x:v>2</x:v>
      </x:c>
      <x:c r="G31" s="36">
        <x:v>35000</x:v>
      </x:c>
      <x:c r="H31" s="14">
        <x:v>3543</x:v>
      </x:c>
      <x:c r="I31" s="36" t="s">
        <x:v>19</x:v>
      </x:c>
      <x:c r="J31" s="36" t="s">
        <x:v>20</x:v>
      </x:c>
      <x:c r="K31" s="11"/>
      <x:c r="L31" s="11"/>
    </x:row>
    <x:row r="32">
      <x:c r="A32" s="36" t="s">
        <x:v>59</x:v>
      </x:c>
      <x:c r="B32" s="36" t="s">
        <x:v>28</x:v>
      </x:c>
      <x:c r="C32" s="36" t="s">
        <x:v>12</x:v>
      </x:c>
      <x:c r="D32" s="36" t="s">
        <x:v>29</x:v>
      </x:c>
      <x:c r="E32" s="36">
        <x:v>3</x:v>
      </x:c>
      <x:c r="F32" s="36">
        <x:v>5</x:v>
      </x:c>
      <x:c r="G32" s="36">
        <x:v>35000</x:v>
      </x:c>
      <x:c r="H32" s="14">
        <x:v>485</x:v>
      </x:c>
      <x:c r="I32" s="36" t="s">
        <x:v>19</x:v>
      </x:c>
      <x:c r="J32" s="36" t="s">
        <x:v>32</x:v>
      </x:c>
      <x:c r="K32" s="11"/>
      <x:c r="L32" s="11"/>
    </x:row>
    <x:row r="33">
      <x:c r="A33" s="36" t="s">
        <x:v>60</x:v>
      </x:c>
      <x:c r="B33" s="36" t="s">
        <x:v>17</x:v>
      </x:c>
      <x:c r="C33" s="36" t="s">
        <x:v>12</x:v>
      </x:c>
      <x:c r="D33" s="36" t="s">
        <x:v>13</x:v>
      </x:c>
      <x:c r="E33" s="36">
        <x:v>3</x:v>
      </x:c>
      <x:c r="F33" s="36">
        <x:v>3</x:v>
      </x:c>
      <x:c r="G33" s="36">
        <x:v>35000</x:v>
      </x:c>
      <x:c r="H33" s="14">
        <x:v>1169</x:v>
      </x:c>
      <x:c r="I33" s="36" t="s">
        <x:v>19</x:v>
      </x:c>
      <x:c r="J33" s="36" t="s">
        <x:v>23</x:v>
      </x:c>
      <x:c r="K33" s="11"/>
      <x:c r="L33" s="11"/>
    </x:row>
    <x:row r="34">
      <x:c r="A34" s="36" t="s">
        <x:v>61</x:v>
      </x:c>
      <x:c r="B34" s="36" t="s">
        <x:v>45</x:v>
      </x:c>
      <x:c r="C34" s="36" t="s">
        <x:v>31</x:v>
      </x:c>
      <x:c r="D34" s="36" t="s">
        <x:v>26</x:v>
      </x:c>
      <x:c r="E34" s="36">
        <x:v>7</x:v>
      </x:c>
      <x:c r="F34" s="36">
        <x:v>8</x:v>
      </x:c>
      <x:c r="G34" s="36">
        <x:v>35000</x:v>
      </x:c>
      <x:c r="H34" s="14">
        <x:v>701</x:v>
      </x:c>
      <x:c r="I34" s="36" t="s">
        <x:v>19</x:v>
      </x:c>
      <x:c r="J34" s="36" t="s">
        <x:v>32</x:v>
      </x:c>
      <x:c r="K34" s="11"/>
      <x:c r="L34" s="11"/>
    </x:row>
    <x:row r="35">
      <x:c r="A35" s="36" t="s">
        <x:v>62</x:v>
      </x:c>
      <x:c r="B35" s="36" t="s">
        <x:v>17</x:v>
      </x:c>
      <x:c r="C35" s="36" t="s">
        <x:v>18</x:v>
      </x:c>
      <x:c r="D35" s="36" t="s">
        <x:v>26</x:v>
      </x:c>
      <x:c r="E35" s="36">
        <x:v>2</x:v>
      </x:c>
      <x:c r="F35" s="36">
        <x:v>6</x:v>
      </x:c>
      <x:c r="G35" s="36">
        <x:v>35000</x:v>
      </x:c>
      <x:c r="H35" s="14">
        <x:v>307</x:v>
      </x:c>
      <x:c r="I35" s="36" t="s">
        <x:v>19</x:v>
      </x:c>
      <x:c r="J35" s="36" t="s">
        <x:v>20</x:v>
      </x:c>
      <x:c r="K35" s="11"/>
      <x:c r="L35" s="11"/>
    </x:row>
    <x:row r="36">
      <x:c r="A36" s="36" t="s">
        <x:v>63</x:v>
      </x:c>
      <x:c r="B36" s="36" t="s">
        <x:v>28</x:v>
      </x:c>
      <x:c r="C36" s="36" t="s">
        <x:v>12</x:v>
      </x:c>
      <x:c r="D36" s="36" t="s">
        <x:v>13</x:v>
      </x:c>
      <x:c r="E36" s="36">
        <x:v>7</x:v>
      </x:c>
      <x:c r="F36" s="36">
        <x:v>2</x:v>
      </x:c>
      <x:c r="G36" s="36">
        <x:v>25000</x:v>
      </x:c>
      <x:c r="H36" s="14">
        <x:v>5003</x:v>
      </x:c>
      <x:c r="I36" s="36" t="s">
        <x:v>19</x:v>
      </x:c>
      <x:c r="J36" s="36" t="s">
        <x:v>23</x:v>
      </x:c>
      <x:c r="K36" s="11"/>
      <x:c r="L36" s="11"/>
    </x:row>
    <x:row r="37">
      <x:c r="A37" s="36" t="s">
        <x:v>64</x:v>
      </x:c>
      <x:c r="B37" s="36" t="s">
        <x:v>28</x:v>
      </x:c>
      <x:c r="C37" s="36" t="s">
        <x:v>31</x:v>
      </x:c>
      <x:c r="D37" s="36" t="s">
        <x:v>13</x:v>
      </x:c>
      <x:c r="E37" s="36">
        <x:v>0</x:v>
      </x:c>
      <x:c r="F37" s="36">
        <x:v>4</x:v>
      </x:c>
      <x:c r="G37" s="36">
        <x:v>35000</x:v>
      </x:c>
      <x:c r="H37" s="14">
        <x:v>677</x:v>
      </x:c>
      <x:c r="I37" s="36" t="s">
        <x:v>14</x:v>
      </x:c>
      <x:c r="J37" s="36" t="s">
        <x:v>20</x:v>
      </x:c>
      <x:c r="K37" s="11"/>
      <x:c r="L37" s="11"/>
    </x:row>
    <x:row r="38">
      <x:c r="A38" s="36" t="s">
        <x:v>65</x:v>
      </x:c>
      <x:c r="B38" s="36" t="s">
        <x:v>17</x:v>
      </x:c>
      <x:c r="C38" s="36" t="s">
        <x:v>12</x:v>
      </x:c>
      <x:c r="D38" s="36" t="s">
        <x:v>29</x:v>
      </x:c>
      <x:c r="E38" s="36">
        <x:v>4</x:v>
      </x:c>
      <x:c r="F38" s="36">
        <x:v>8</x:v>
      </x:c>
      <x:c r="G38" s="36">
        <x:v>45000</x:v>
      </x:c>
      <x:c r="H38" s="14">
        <x:v>5799</x:v>
      </x:c>
      <x:c r="I38" s="36" t="s">
        <x:v>19</x:v>
      </x:c>
      <x:c r="J38" s="36" t="s">
        <x:v>32</x:v>
      </x:c>
      <x:c r="K38" s="11"/>
      <x:c r="L38" s="11"/>
    </x:row>
    <x:row r="39">
      <x:c r="A39" s="36" t="s">
        <x:v>66</x:v>
      </x:c>
      <x:c r="B39" s="36" t="s">
        <x:v>45</x:v>
      </x:c>
      <x:c r="C39" s="36" t="s">
        <x:v>18</x:v>
      </x:c>
      <x:c r="D39" s="36" t="s">
        <x:v>13</x:v>
      </x:c>
      <x:c r="E39" s="36">
        <x:v>7</x:v>
      </x:c>
      <x:c r="F39" s="36">
        <x:v>1</x:v>
      </x:c>
      <x:c r="G39" s="36">
        <x:v>18000</x:v>
      </x:c>
      <x:c r="H39" s="14">
        <x:v>5789</x:v>
      </x:c>
      <x:c r="I39" s="36" t="s">
        <x:v>19</x:v>
      </x:c>
      <x:c r="J39" s="36" t="s">
        <x:v>23</x:v>
      </x:c>
      <x:c r="K39" s="11"/>
      <x:c r="L39" s="11"/>
    </x:row>
    <x:row r="40">
      <x:c r="A40" s="36" t="s">
        <x:v>67</x:v>
      </x:c>
      <x:c r="B40" s="36" t="s">
        <x:v>17</x:v>
      </x:c>
      <x:c r="C40" s="36" t="s">
        <x:v>18</x:v>
      </x:c>
      <x:c r="D40" s="36" t="s">
        <x:v>26</x:v>
      </x:c>
      <x:c r="E40" s="36">
        <x:v>0</x:v>
      </x:c>
      <x:c r="F40" s="36">
        <x:v>6</x:v>
      </x:c>
      <x:c r="G40" s="36">
        <x:v>18000</x:v>
      </x:c>
      <x:c r="H40" s="14">
        <x:v>701</x:v>
      </x:c>
      <x:c r="I40" s="36" t="s">
        <x:v>19</x:v>
      </x:c>
      <x:c r="J40" s="36" t="s">
        <x:v>23</x:v>
      </x:c>
      <x:c r="K40" s="11"/>
      <x:c r="L40" s="11"/>
    </x:row>
    <x:row r="41">
      <x:c r="A41" s="36" t="s">
        <x:v>68</x:v>
      </x:c>
      <x:c r="B41" s="36" t="s">
        <x:v>22</x:v>
      </x:c>
      <x:c r="C41" s="36" t="s">
        <x:v>37</x:v>
      </x:c>
      <x:c r="D41" s="36" t="s">
        <x:v>26</x:v>
      </x:c>
      <x:c r="E41" s="36">
        <x:v>4</x:v>
      </x:c>
      <x:c r="F41" s="36">
        <x:v>1</x:v>
      </x:c>
      <x:c r="G41" s="36">
        <x:v>18000</x:v>
      </x:c>
      <x:c r="H41" s="14">
        <x:v>2591</x:v>
      </x:c>
      <x:c r="I41" s="36" t="s">
        <x:v>19</x:v>
      </x:c>
      <x:c r="J41" s="36" t="s">
        <x:v>20</x:v>
      </x:c>
      <x:c r="K41" s="11"/>
      <x:c r="L41" s="11"/>
    </x:row>
    <x:row r="42">
      <x:c r="A42" s="36" t="s">
        <x:v>69</x:v>
      </x:c>
      <x:c r="B42" s="36" t="s">
        <x:v>22</x:v>
      </x:c>
      <x:c r="C42" s="36" t="s">
        <x:v>37</x:v>
      </x:c>
      <x:c r="D42" s="36" t="s">
        <x:v>13</x:v>
      </x:c>
      <x:c r="E42" s="36">
        <x:v>2</x:v>
      </x:c>
      <x:c r="F42" s="36">
        <x:v>5</x:v>
      </x:c>
      <x:c r="G42" s="36">
        <x:v>45000</x:v>
      </x:c>
      <x:c r="H42" s="14">
        <x:v>1451</x:v>
      </x:c>
      <x:c r="I42" s="36" t="s">
        <x:v>14</x:v>
      </x:c>
      <x:c r="J42" s="36" t="s">
        <x:v>20</x:v>
      </x:c>
      <x:c r="K42" s="11"/>
      <x:c r="L42" s="11"/>
    </x:row>
    <x:row r="43">
      <x:c r="A43" s="36" t="s">
        <x:v>70</x:v>
      </x:c>
      <x:c r="B43" s="36" t="s">
        <x:v>28</x:v>
      </x:c>
      <x:c r="C43" s="36" t="s">
        <x:v>37</x:v>
      </x:c>
      <x:c r="D43" s="36" t="s">
        <x:v>13</x:v>
      </x:c>
      <x:c r="E43" s="36">
        <x:v>6</x:v>
      </x:c>
      <x:c r="F43" s="36">
        <x:v>3</x:v>
      </x:c>
      <x:c r="G43" s="36">
        <x:v>25000</x:v>
      </x:c>
      <x:c r="H43" s="14">
        <x:v>3566</x:v>
      </x:c>
      <x:c r="I43" s="36" t="s">
        <x:v>19</x:v>
      </x:c>
      <x:c r="J43" s="36" t="s">
        <x:v>23</x:v>
      </x:c>
      <x:c r="K43" s="11"/>
      <x:c r="L43" s="11"/>
    </x:row>
    <x:row r="44">
      <x:c r="A44" s="36" t="s">
        <x:v>71</x:v>
      </x:c>
      <x:c r="B44" s="36" t="s">
        <x:v>45</x:v>
      </x:c>
      <x:c r="C44" s="36" t="s">
        <x:v>25</x:v>
      </x:c>
      <x:c r="D44" s="36" t="s">
        <x:v>13</x:v>
      </x:c>
      <x:c r="E44" s="36">
        <x:v>2</x:v>
      </x:c>
      <x:c r="F44" s="36">
        <x:v>2</x:v>
      </x:c>
      <x:c r="G44" s="36">
        <x:v>18000</x:v>
      </x:c>
      <x:c r="H44" s="14">
        <x:v>572</x:v>
      </x:c>
      <x:c r="I44" s="36" t="s">
        <x:v>19</x:v>
      </x:c>
      <x:c r="J44" s="36" t="s">
        <x:v>20</x:v>
      </x:c>
      <x:c r="K44" s="11"/>
      <x:c r="L44" s="11"/>
    </x:row>
    <x:row r="45">
      <x:c r="A45" s="36" t="s">
        <x:v>72</x:v>
      </x:c>
      <x:c r="B45" s="36" t="s">
        <x:v>17</x:v>
      </x:c>
      <x:c r="C45" s="36" t="s">
        <x:v>18</x:v>
      </x:c>
      <x:c r="D45" s="36" t="s">
        <x:v>29</x:v>
      </x:c>
      <x:c r="E45" s="36">
        <x:v>5</x:v>
      </x:c>
      <x:c r="F45" s="36">
        <x:v>9</x:v>
      </x:c>
      <x:c r="G45" s="36">
        <x:v>35000</x:v>
      </x:c>
      <x:c r="H45" s="14">
        <x:v>1899</x:v>
      </x:c>
      <x:c r="I45" s="36" t="s">
        <x:v>14</x:v>
      </x:c>
      <x:c r="J45" s="36" t="s">
        <x:v>32</x:v>
      </x:c>
      <x:c r="K45" s="11"/>
      <x:c r="L45" s="11"/>
    </x:row>
    <x:row r="46">
      <x:c r="A46" s="36" t="s">
        <x:v>73</x:v>
      </x:c>
      <x:c r="B46" s="36" t="s">
        <x:v>17</x:v>
      </x:c>
      <x:c r="C46" s="36" t="s">
        <x:v>12</x:v>
      </x:c>
      <x:c r="D46" s="36" t="s">
        <x:v>29</x:v>
      </x:c>
      <x:c r="E46" s="36">
        <x:v>5</x:v>
      </x:c>
      <x:c r="F46" s="36">
        <x:v>10</x:v>
      </x:c>
      <x:c r="G46" s="36">
        <x:v>18000</x:v>
      </x:c>
      <x:c r="H46" s="14">
        <x:v>5258</x:v>
      </x:c>
      <x:c r="I46" s="36" t="s">
        <x:v>14</x:v>
      </x:c>
      <x:c r="J46" s="36" t="s">
        <x:v>20</x:v>
      </x:c>
      <x:c r="K46" s="11"/>
      <x:c r="L46" s="11"/>
    </x:row>
    <x:row r="47">
      <x:c r="A47" s="36" t="s">
        <x:v>74</x:v>
      </x:c>
      <x:c r="B47" s="36" t="s">
        <x:v>17</x:v>
      </x:c>
      <x:c r="C47" s="36" t="s">
        <x:v>37</x:v>
      </x:c>
      <x:c r="D47" s="36" t="s">
        <x:v>13</x:v>
      </x:c>
      <x:c r="E47" s="36">
        <x:v>4</x:v>
      </x:c>
      <x:c r="F47" s="36">
        <x:v>2</x:v>
      </x:c>
      <x:c r="G47" s="36">
        <x:v>35000</x:v>
      </x:c>
      <x:c r="H47" s="14">
        <x:v>1713</x:v>
      </x:c>
      <x:c r="I47" s="36" t="s">
        <x:v>19</x:v>
      </x:c>
      <x:c r="J47" s="36" t="s">
        <x:v>15</x:v>
      </x:c>
      <x:c r="K47" s="11"/>
      <x:c r="L47" s="11"/>
    </x:row>
    <x:row r="48">
      <x:c r="A48" s="36" t="s">
        <x:v>75</x:v>
      </x:c>
      <x:c r="B48" s="36" t="s">
        <x:v>28</x:v>
      </x:c>
      <x:c r="C48" s="36" t="s">
        <x:v>37</x:v>
      </x:c>
      <x:c r="D48" s="36" t="s">
        <x:v>13</x:v>
      </x:c>
      <x:c r="E48" s="36">
        <x:v>2</x:v>
      </x:c>
      <x:c r="F48" s="36">
        <x:v>10</x:v>
      </x:c>
      <x:c r="G48" s="36">
        <x:v>18000</x:v>
      </x:c>
      <x:c r="H48" s="14">
        <x:v>233</x:v>
      </x:c>
      <x:c r="I48" s="36" t="s">
        <x:v>19</x:v>
      </x:c>
      <x:c r="J48" s="36" t="s">
        <x:v>23</x:v>
      </x:c>
      <x:c r="K48" s="11"/>
      <x:c r="L48" s="11"/>
    </x:row>
    <x:row r="49">
      <x:c r="A49" s="36" t="s">
        <x:v>76</x:v>
      </x:c>
      <x:c r="B49" s="36" t="s">
        <x:v>22</x:v>
      </x:c>
      <x:c r="C49" s="36" t="s">
        <x:v>12</x:v>
      </x:c>
      <x:c r="D49" s="36" t="s">
        <x:v>13</x:v>
      </x:c>
      <x:c r="E49" s="36">
        <x:v>4</x:v>
      </x:c>
      <x:c r="F49" s="36">
        <x:v>3</x:v>
      </x:c>
      <x:c r="G49" s="36">
        <x:v>25000</x:v>
      </x:c>
      <x:c r="H49" s="14">
        <x:v>2007</x:v>
      </x:c>
      <x:c r="I49" s="36" t="s">
        <x:v>14</x:v>
      </x:c>
      <x:c r="J49" s="36" t="s">
        <x:v>32</x:v>
      </x:c>
      <x:c r="K49" s="11"/>
      <x:c r="L49" s="11"/>
    </x:row>
    <x:row r="50">
      <x:c r="A50" s="36" t="s">
        <x:v>77</x:v>
      </x:c>
      <x:c r="B50" s="36" t="s">
        <x:v>45</x:v>
      </x:c>
      <x:c r="C50" s="36" t="s">
        <x:v>31</x:v>
      </x:c>
      <x:c r="D50" s="36" t="s">
        <x:v>29</x:v>
      </x:c>
      <x:c r="E50" s="36">
        <x:v>0</x:v>
      </x:c>
      <x:c r="F50" s="36">
        <x:v>3</x:v>
      </x:c>
      <x:c r="G50" s="36">
        <x:v>60000</x:v>
      </x:c>
      <x:c r="H50" s="14">
        <x:v>1005</x:v>
      </x:c>
      <x:c r="I50" s="36" t="s">
        <x:v>19</x:v>
      </x:c>
      <x:c r="J50" s="36" t="s">
        <x:v>32</x:v>
      </x:c>
      <x:c r="K50" s="11"/>
      <x:c r="L50" s="11"/>
    </x:row>
    <x:row r="51">
      <x:c r="A51" s="36" t="s">
        <x:v>78</x:v>
      </x:c>
      <x:c r="B51" s="36" t="s">
        <x:v>28</x:v>
      </x:c>
      <x:c r="C51" s="36" t="s">
        <x:v>37</x:v>
      </x:c>
      <x:c r="D51" s="36" t="s">
        <x:v>26</x:v>
      </x:c>
      <x:c r="E51" s="36">
        <x:v>2</x:v>
      </x:c>
      <x:c r="F51" s="36">
        <x:v>9</x:v>
      </x:c>
      <x:c r="G51" s="36">
        <x:v>45000</x:v>
      </x:c>
      <x:c r="H51" s="14">
        <x:v>157</x:v>
      </x:c>
      <x:c r="I51" s="36" t="s">
        <x:v>14</x:v>
      </x:c>
      <x:c r="J51" s="36" t="s">
        <x:v>23</x:v>
      </x:c>
      <x:c r="K51" s="11"/>
      <x:c r="L51" s="11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</x:row>
    <x:row r="53" ht="15.600000381469727">
      <x:c r="A53" s="38" t="s">
        <x:v>79</x:v>
      </x:c>
      <x:c r="B53" s="39" t="s">
        <x:v>80</x:v>
      </x:c>
      <x:c r="C53" s="37"/>
      <x:c r="D53" s="37"/>
      <x:c r="E53" s="37"/>
      <x:c r="F53" s="37"/>
      <x:c r="G53" s="37"/>
      <x:c r="H53" s="37"/>
      <x:c r="I53" s="37"/>
      <x:c r="J53" s="37"/>
    </x:row>
    <x:row r="54">
      <x:c r="A54" s="40" t="s">
        <x:v>81</x:v>
      </x:c>
      <x:c r="B54" s="36" t="n">
        <x:f>SUMPRODUCT(--(COUNTIF(A2:A51,A2:A51)&gt;1))</x:f>
        <x:v>0</x:v>
      </x:c>
      <x:c r="C54" s="37"/>
      <x:c r="D54" s="37"/>
      <x:c r="E54" s="37"/>
      <x:c r="F54" s="37"/>
      <x:c r="G54" s="37"/>
      <x:c r="H54" s="37"/>
      <x:c r="I54" s="37"/>
      <x:c r="J54" s="37"/>
    </x:row>
    <x:row r="55">
      <x:c r="A55" s="40" t="s">
        <x:v>82</x:v>
      </x:c>
      <x:c r="B55" s="36" t="n">
        <x:f>COUNTBLANK(E2:E50)</x:f>
        <x:v>0</x:v>
      </x:c>
      <x:c r="C55" s="37"/>
      <x:c r="D55" s="37"/>
      <x:c r="E55" s="37"/>
      <x:c r="F55" s="37"/>
      <x:c r="G55" s="37"/>
      <x:c r="H55" s="37"/>
      <x:c r="I55" s="37"/>
      <x:c r="J55" s="37"/>
    </x:row>
    <x:row r="56">
      <x:c r="A56" s="40" t="s">
        <x:v>83</x:v>
      </x:c>
      <x:c r="B56" s="36" t="n">
        <x:f>COUNTBLANK(F2:F50)</x:f>
        <x:v>0</x:v>
      </x:c>
      <x:c r="C56" s="37"/>
      <x:c r="D56" s="37"/>
      <x:c r="E56" s="37"/>
      <x:c r="F56" s="37"/>
      <x:c r="G56" s="37"/>
      <x:c r="H56" s="37"/>
      <x:c r="I56" s="37"/>
      <x:c r="J56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6.77734375" customWidth="1"/>
    <x:col min="2" max="2" width="27.6640625" customWidth="1"/>
    <x:col min="3" max="3" width="16.44140625" customWidth="1"/>
    <x:col min="4" max="4" width="13.6640625" customWidth="1"/>
    <x:col min="5" max="5" width="22.109375" customWidth="1"/>
    <x:col min="6" max="6" width="23.33203125" customWidth="1"/>
    <x:col min="7" max="7" width="19.77734375" customWidth="1"/>
    <x:col min="8" max="8" width="21" customWidth="1"/>
    <x:col min="9" max="9" width="25.88671875" customWidth="1"/>
    <x:col min="10" max="10" width="26.44140625" customWidth="1"/>
    <x:col min="11" max="11" width="26.77734375" customWidth="1"/>
    <x:col min="12" max="12" width="27.6640625" customWidth="1"/>
    <x:col min="13" max="13" width="19.5546875" customWidth="1"/>
    <x:col min="14" max="14" width="25.88671875" customWidth="1"/>
    <x:col min="15" max="15" width="15.44140625" customWidth="1"/>
    <x:col min="16" max="16" width="31.21875" customWidth="1"/>
    <x:col min="17" max="17" width="26.44140625" customWidth="1"/>
    <x:col min="19" max="19" width="18.44140625" customWidth="1"/>
    <x:col min="20" max="20" width="26.44140625" customWidth="1"/>
    <x:col min="21" max="21" width="14.88671875" customWidth="1"/>
    <x:col min="22" max="22" width="27" customWidth="1"/>
    <x:col min="23" max="23" width="11.6640625" customWidth="1"/>
    <x:col min="24" max="24" width="15" customWidth="1"/>
    <x:col min="25" max="26" width="12.21875" customWidth="1"/>
    <x:col min="27" max="27" width="10.88671875" customWidth="1"/>
    <x:col min="28" max="28" width="7.44140625" customWidth="1"/>
  </x:cols>
  <x:sheetData>
    <x:row r="1" ht="18">
      <x:c r="A1" s="4" t="s">
        <x:v>84</x:v>
      </x:c>
      <x:c r="B1" s="4" t="s">
        <x:v>4</x:v>
      </x:c>
      <x:c r="C1" s="4" t="s">
        <x:v>5</x:v>
      </x:c>
      <x:c r="D1" s="4" t="s">
        <x:v>6</x:v>
      </x:c>
      <x:c r="E1" s="4" t="s">
        <x:v>7</x:v>
      </x:c>
      <x:c r="F1" s="4" t="s">
        <x:v>85</x:v>
      </x:c>
      <x:c r="G1" s="16" t="s">
        <x:v>86</x:v>
      </x:c>
      <x:c r="H1" s="15" t="s">
        <x:v>87</x:v>
      </x:c>
      <x:c r="I1" s="4" t="s">
        <x:v>3</x:v>
      </x:c>
      <x:c r="J1" s="4" t="s">
        <x:v>86</x:v>
      </x:c>
      <x:c r="K1" s="4" t="s">
        <x:v>87</x:v>
      </x:c>
      <x:c r="L1" s="4" t="s">
        <x:v>88</x:v>
      </x:c>
      <x:c r="M1" s="15" t="s">
        <x:v>85</x:v>
      </x:c>
      <x:c r="N1" s="4" t="s">
        <x:v>88</x:v>
      </x:c>
      <x:c r="O1" s="6"/>
      <x:c r="P1" s="4" t="s">
        <x:v>89</x:v>
      </x:c>
    </x:row>
    <x:row r="2">
      <x:c r="A2" s="2" t="s">
        <x:v>90</x:v>
      </x:c>
      <x:c r="B2" s="8" t="n">
        <x:f>AVERAGE(Raw_Data!E2:E50)</x:f>
        <x:v>3.9591836734693877</x:v>
      </x:c>
      <x:c r="C2" s="8" t="n">
        <x:f>AVERAGE(Raw_Data!F2:F50)</x:f>
        <x:v>5.510204081632653</x:v>
      </x:c>
      <x:c r="D2" s="8" t="n">
        <x:f>AVERAGE(Raw_Data!G2:G50)</x:f>
        <x:v>33428.57142857143</x:v>
      </x:c>
      <x:c r="E2" s="8" t="n">
        <x:f>AVERAGE(Raw_Data!H2:H50)</x:f>
        <x:v>2347.4489795918366</x:v>
      </x:c>
      <x:c r="F2" s="2" t="s">
        <x:v>11</x:v>
      </x:c>
      <x:c r="G2" s="3" t="n">
        <x:f>SUMIF('Cleaned Data'!$B$2:$B$51,F2,'Cleaned Data'!$F$2:$F$51)</x:f>
        <x:v>49</x:v>
      </x:c>
      <x:c r="H2" s="10" t="n" cm="1">
        <x:f t="array" ref="H2">SUMPRODUCT(('Cleaned Data'!$B$2:$B$51=F2)*'Cleaned Data'!$F$2:$F$51*'Cleaned Data'!$G$2:$G$51)</x:f>
        <x:v>2020000</x:v>
      </x:c>
      <x:c r="I2" s="2" t="s">
        <x:v>29</x:v>
      </x:c>
      <x:c r="J2" s="2" t="n">
        <x:f>SUMIF('Cleaned Data'!$D$2:$D$51,I2,'Cleaned Data'!$F$2:$F$51)</x:f>
        <x:v>108</x:v>
      </x:c>
      <x:c r="K2" s="2" t="n" cm="1">
        <x:f t="array" ref="K2">SUMPRODUCT(('Cleaned Data'!$D$2:$D$51=I2)*'Cleaned Data'!$F$2:$F$51*'Cleaned Data'!$G$2:$G$51)</x:f>
        <x:v>3652000</x:v>
      </x:c>
      <x:c r="L2" s="2" t="n">
        <x:f>SUMIF('Cleaned Data'!$D$2:$D$51,I2,'Cleaned Data'!$H$2:$H$51)</x:f>
        <x:v>47459</x:v>
      </x:c>
      <x:c r="M2" s="10" t="s">
        <x:v>11</x:v>
      </x:c>
      <x:c r="N2" s="2" t="n">
        <x:f>SUMIF(Raw_Data!B2:B50,"Desktop",Raw_Data!H2:H50)</x:f>
        <x:v>21890</x:v>
      </x:c>
      <x:c r="O2" s="2"/>
      <x:c r="P2" s="2" t="s">
        <x:v>19</x:v>
      </x:c>
    </x:row>
    <x:row r="3">
      <x:c r="A3" s="2" t="s">
        <x:v>91</x:v>
      </x:c>
      <x:c r="B3" s="2" t="n">
        <x:f>MEDIAN(Raw_Data!E2:E50)</x:f>
        <x:v>4</x:v>
      </x:c>
      <x:c r="C3" s="9" t="n">
        <x:f>MEDIAN(Raw_Data!F2:F50)</x:f>
        <x:v>6</x:v>
      </x:c>
      <x:c r="D3" s="2" t="n">
        <x:f>MEDIAN(Raw_Data!G2:G50)</x:f>
        <x:v>35000</x:v>
      </x:c>
      <x:c r="E3" s="2" t="n">
        <x:f>MEDIAN(Raw_Data!H2:H50)</x:f>
        <x:v>1713</x:v>
      </x:c>
      <x:c r="F3" s="2" t="s">
        <x:v>22</x:v>
      </x:c>
      <x:c r="G3" s="3" t="n">
        <x:f>SUMIF('Cleaned Data'!$B$2:$B$51,F3,'Cleaned Data'!$F$2:$F$51)</x:f>
        <x:v>60</x:v>
      </x:c>
      <x:c r="H3" s="10" t="n" cm="1">
        <x:f t="array" ref="H3">SUMPRODUCT(('Cleaned Data'!$B$2:$B$51=F3)*'Cleaned Data'!$F$2:$F$51*'Cleaned Data'!$G$2:$G$51)</x:f>
        <x:v>1614000</x:v>
      </x:c>
      <x:c r="I3" s="2" t="s">
        <x:v>13</x:v>
      </x:c>
      <x:c r="J3" s="2" t="n">
        <x:f>SUMIF('Cleaned Data'!$D$2:$D$51,I3,'Cleaned Data'!$F$2:$F$51)</x:f>
        <x:v>97</x:v>
      </x:c>
      <x:c r="K3" s="2" t="n" cm="1">
        <x:f t="array" ref="K3">SUMPRODUCT(('Cleaned Data'!$D$2:$D$51=I3)*'Cleaned Data'!$F$2:$F$51*'Cleaned Data'!$G$2:$G$51)</x:f>
        <x:v>3034000</x:v>
      </x:c>
      <x:c r="L3" s="2" t="n">
        <x:f>SUMIF('Cleaned Data'!$D$2:$D$51,I3,'Cleaned Data'!$H$2:$H$51)</x:f>
        <x:v>49975</x:v>
      </x:c>
      <x:c r="M3" s="10" t="s">
        <x:v>22</x:v>
      </x:c>
      <x:c r="N3" s="2" t="n">
        <x:f>SUMIF(Raw_Data!B2:B50,"Laptop",Raw_Data!H2:H50)</x:f>
        <x:v>28361</x:v>
      </x:c>
      <x:c r="O3" s="2"/>
      <x:c r="P3" s="2" t="s">
        <x:v>14</x:v>
      </x:c>
    </x:row>
    <x:row r="4">
      <x:c r="A4" s="2" t="s">
        <x:v>92</x:v>
      </x:c>
      <x:c r="B4" s="2" t="n">
        <x:f>MIN(Raw_Data!E2:E50)</x:f>
        <x:v>0</x:v>
      </x:c>
      <x:c r="C4" s="2" t="n">
        <x:f>MIN(Raw_Data!F2:F50)</x:f>
        <x:v>1</x:v>
      </x:c>
      <x:c r="D4" s="2" t="n">
        <x:f>MIN(Raw_Data!G2:G50)</x:f>
        <x:v>18000</x:v>
      </x:c>
      <x:c r="E4" s="2" t="n">
        <x:f>MIN(Raw_Data!H2:H50)</x:f>
        <x:v>20</x:v>
      </x:c>
      <x:c r="F4" s="2" t="s">
        <x:v>45</x:v>
      </x:c>
      <x:c r="G4" s="3" t="n">
        <x:f>SUMIF('Cleaned Data'!$B$2:$B$51,F4,'Cleaned Data'!$F$2:$F$51)</x:f>
        <x:v>31</x:v>
      </x:c>
      <x:c r="H4" s="10" t="n" cm="1">
        <x:f t="array" ref="H4">SUMPRODUCT(('Cleaned Data'!$B$2:$B$51=F4)*'Cleaned Data'!$F$2:$F$51*'Cleaned Data'!$G$2:$G$51)</x:f>
        <x:v>1079000</x:v>
      </x:c>
      <x:c r="I4" s="2" t="s">
        <x:v>26</x:v>
      </x:c>
      <x:c r="J4" s="2" t="n">
        <x:f>SUMIF('Cleaned Data'!$D$2:$D$51,I4,'Cleaned Data'!$F$2:$F$51)</x:f>
        <x:v>74</x:v>
      </x:c>
      <x:c r="K4" s="2" t="n" cm="1">
        <x:f t="array" ref="K4">SUMPRODUCT(('Cleaned Data'!$D$2:$D$51=I4)*'Cleaned Data'!$F$2:$F$51*'Cleaned Data'!$G$2:$G$51)</x:f>
        <x:v>2482000</x:v>
      </x:c>
      <x:c r="L4" s="2" t="n">
        <x:f>SUMIF('Cleaned Data'!$D$2:$D$51,I4,'Cleaned Data'!$H$2:$H$51)</x:f>
        <x:v>17748</x:v>
      </x:c>
      <x:c r="M4" s="10" t="s">
        <x:v>45</x:v>
      </x:c>
      <x:c r="N4" s="2" t="n">
        <x:f>SUMIF(Raw_Data!B2:B50,"Printer",Raw_Data!H2:H50)</x:f>
        <x:v>19205</x:v>
      </x:c>
      <x:c r="O4" s="2"/>
      <x:c r="P4" s="2"/>
    </x:row>
    <x:row r="5">
      <x:c r="A5" s="2" t="s">
        <x:v>93</x:v>
      </x:c>
      <x:c r="B5" s="2" t="n">
        <x:f>MAX(Raw_Data!E2:E50)</x:f>
        <x:v>7</x:v>
      </x:c>
      <x:c r="C5" s="2" t="n">
        <x:f>MAX(Raw_Data!F2:F50)</x:f>
        <x:v>10</x:v>
      </x:c>
      <x:c r="D5" s="2" t="n">
        <x:f>MAX(Raw_Data!G2:G50)</x:f>
        <x:v>60000</x:v>
      </x:c>
      <x:c r="E5" s="2" t="n">
        <x:f>MAX(Raw_Data!H2:H50)</x:f>
        <x:v>5799</x:v>
      </x:c>
      <x:c r="F5" s="2" t="s">
        <x:v>28</x:v>
      </x:c>
      <x:c r="G5" s="3" t="n">
        <x:f>SUMIF('Cleaned Data'!$B$2:$B$51,F5,'Cleaned Data'!$F$2:$F$51)</x:f>
        <x:v>70</x:v>
      </x:c>
      <x:c r="H5" s="10" t="n" cm="1">
        <x:f t="array" ref="H5">SUMPRODUCT(('Cleaned Data'!$B$2:$B$51=F5)*'Cleaned Data'!$F$2:$F$51*'Cleaned Data'!$G$2:$G$51)</x:f>
        <x:v>2402000</x:v>
      </x:c>
      <x:c r="I5" s="2"/>
      <x:c r="J5" s="2"/>
      <x:c r="K5" s="2"/>
      <x:c r="L5" s="2"/>
      <x:c r="M5" s="10" t="s">
        <x:v>28</x:v>
      </x:c>
      <x:c r="N5" s="2" t="n">
        <x:f>SUMIF(Raw_Data!B2:B50,"Router",Raw_Data!H2:H50)</x:f>
        <x:v>22081</x:v>
      </x:c>
      <x:c r="O5" s="2"/>
      <x:c r="P5" s="2"/>
    </x:row>
    <x:row r="6">
      <x:c r="A6" s="2"/>
      <x:c r="B6" s="2"/>
      <x:c r="C6" s="2"/>
      <x:c r="D6" s="2"/>
      <x:c r="E6" s="2"/>
      <x:c r="F6" s="2" t="s">
        <x:v>17</x:v>
      </x:c>
      <x:c r="G6" s="3" t="n">
        <x:f>SUMIF('Cleaned Data'!$B$2:$B$51,F6,'Cleaned Data'!$F$2:$F$51)</x:f>
        <x:v>69</x:v>
      </x:c>
      <x:c r="H6" s="10" t="n">
        <x:f>SUMPRODUCT(('Cleaned Data'!$B$2:$B$51=F6)*'Cleaned Data'!$F$2:$F$51*'Cleaned Data'!$G$2:$G$51)</x:f>
        <x:v>2053000</x:v>
      </x:c>
      <x:c r="I6" s="2"/>
      <x:c r="J6" s="2"/>
      <x:c r="K6" s="2"/>
      <x:c r="L6" s="2"/>
      <x:c r="M6" s="10" t="s">
        <x:v>17</x:v>
      </x:c>
      <x:c r="N6" s="2" t="n">
        <x:f>SUMIF(Raw_Data!B2:B50,"Projector",Raw_Data!H2:H50)</x:f>
        <x:v>23488</x:v>
      </x:c>
      <x:c r="O6" s="2"/>
      <x:c r="P6" s="2"/>
    </x:row>
    <x:row r="7">
      <x:c r="A7" s="2"/>
      <x:c r="B7" s="2"/>
      <x:c r="C7" s="12"/>
      <x:c r="D7" s="2"/>
      <x:c r="E7" s="2"/>
      <x:c r="F7" s="2"/>
      <x:c r="G7" s="3"/>
      <x:c r="H7" s="10"/>
      <x:c r="I7" s="2"/>
      <x:c r="J7" s="2"/>
      <x:c r="K7" s="2"/>
      <x:c r="L7" s="2"/>
      <x:c r="M7" s="10"/>
      <x:c r="N7" s="2"/>
      <x:c r="O7" s="2"/>
      <x:c r="P7" s="2"/>
    </x:row>
    <x:row r="8" ht="18">
      <x:c r="A8" s="4" t="s">
        <x:v>84</x:v>
      </x:c>
      <x:c r="B8" s="4" t="s">
        <x:v>80</x:v>
      </x:c>
      <x:c r="C8" s="29"/>
      <x:c r="D8" s="21" t="s">
        <x:v>94</x:v>
      </x:c>
      <x:c r="E8" s="21"/>
      <x:c r="F8" s="21"/>
      <x:c r="G8" s="17"/>
      <x:c r="H8" s="23" t="s">
        <x:v>3</x:v>
      </x:c>
      <x:c r="I8" s="6" t="s">
        <x:v>95</x:v>
      </x:c>
      <x:c r="J8" s="6"/>
      <x:c r="K8" s="7" t="s">
        <x:v>9</x:v>
      </x:c>
      <x:c r="L8" s="6" t="s">
        <x:v>11</x:v>
      </x:c>
      <x:c r="M8" s="24" t="s">
        <x:v>22</x:v>
      </x:c>
      <x:c r="N8" s="6" t="s">
        <x:v>45</x:v>
      </x:c>
      <x:c r="O8" s="6" t="s">
        <x:v>17</x:v>
      </x:c>
      <x:c r="P8" s="6" t="s">
        <x:v>28</x:v>
      </x:c>
      <x:c r="W8" s="11"/>
      <x:c r="X8" s="11"/>
    </x:row>
    <x:row r="9">
      <x:c r="A9" s="2" t="s">
        <x:v>86</x:v>
      </x:c>
      <x:c r="B9" s="13" t="n">
        <x:f>SUM('Cleaned Data'!F2:F51)</x:f>
        <x:v>279</x:v>
      </x:c>
      <x:c r="C9" s="25" t="s">
        <x:v>0</x:v>
      </x:c>
      <x:c r="D9" s="26" t="s">
        <x:v>1</x:v>
      </x:c>
      <x:c r="E9" s="26" t="s">
        <x:v>9</x:v>
      </x:c>
      <x:c r="F9" s="27" t="s">
        <x:v>96</x:v>
      </x:c>
      <x:c r="G9" s="13"/>
      <x:c r="H9" s="10">
        <x:f>COUNTIF('Cleaned Data'!$D$2:$D$51,H9)</x:f>
      </x:c>
      <x:c r="I9" s="2" t="n">
        <x:f>COUNTIF(D$2:D$51, "Good")</x:f>
        <x:v>0</x:v>
      </x:c>
      <x:c r="J9" s="2"/>
      <x:c r="K9" s="2" t="s">
        <x:v>20</x:v>
      </x:c>
      <x:c r="L9" s="2" t="n">
        <x:f>SUMIFS(Raw_Data!F$2:F$51, Raw_Data!B$2:B$51, "Desktop", Raw_Data!J$2:J$51, "Admin")</x:f>
        <x:v>10</x:v>
      </x:c>
      <x:c r="M9" s="2" t="n">
        <x:f>SUMIFS(Raw_Data!F$2:F$51, Raw_Data!B$2:B$51, "Laptop", Raw_Data!J$2:J$51, "Admin")</x:f>
        <x:v>12</x:v>
      </x:c>
      <x:c r="N9" s="2" t="n">
        <x:f>SUMIFS(Raw_Data!F$2:F$51, Raw_Data!B$2:B$51, "Printer", Raw_Data!J$2:J$51, "Admin")</x:f>
        <x:v>10</x:v>
      </x:c>
      <x:c r="O9" s="2" t="n">
        <x:f>SUMIFS(Raw_Data!F$2:F$51, Raw_Data!B$2:B$51, "Projector", Raw_Data!J$2:J$51, "Admin")</x:f>
        <x:v>37</x:v>
      </x:c>
      <x:c r="P9" s="2" t="n">
        <x:f>SUMIFS(Raw_Data!F$2:F$51, Raw_Data!B$2:B$51, "Router", Raw_Data!J$2:J$51, "Admin")</x:f>
        <x:v>29</x:v>
      </x:c>
      <x:c r="W9" s="11"/>
      <x:c r="X9" s="11"/>
    </x:row>
    <x:row r="10">
      <x:c r="A10" s="2" t="s">
        <x:v>87</x:v>
      </x:c>
      <x:c r="B10" s="13" t="n">
        <x:f>SUMPRODUCT('Cleaned Data'!F2:F51,'Cleaned Data'!G2:G51)</x:f>
        <x:v>9168000</x:v>
      </x:c>
      <x:c r="C10" s="28" t="str">
        <x:f>INDEX(Raw_Data!A2:A50, MATCH(LARGE(Raw_Data!H2:H50,1), Raw_Data!H2:H50,0))</x:f>
        <x:v>A8036</x:v>
      </x:c>
      <x:c r="D10" s="13" t="str">
        <x:f>INDEX(Raw_Data!B2:B50, MATCH(LARGE(Raw_Data!H2:H50,1), Raw_Data!H2:H50,0))</x:f>
        <x:v>Projector</x:v>
      </x:c>
      <x:c r="E10" s="13" t="str">
        <x:f>INDEX(Raw_Data!J2:J50, MATCH(LARGE(Raw_Data!H2:H50,1), Raw_Data!H2:H50,0))</x:f>
        <x:v>IT</x:v>
      </x:c>
      <x:c r="F10" s="22" t="n">
        <x:f>LARGE(Raw_Data!H2:H50,1)</x:f>
        <x:v>5799</x:v>
      </x:c>
      <x:c r="G10" s="13"/>
      <x:c r="H10" s="10">
        <x:f>COUNTIF('Cleaned Data'!$D$2:$D$51,H10)</x:f>
      </x:c>
      <x:c r="I10" s="2" t="n">
        <x:f>COUNTIF(D$2:D$51, "Fair")</x:f>
        <x:v>0</x:v>
      </x:c>
      <x:c r="J10" s="2"/>
      <x:c r="K10" s="2" t="s">
        <x:v>23</x:v>
      </x:c>
      <x:c r="L10" s="2" t="n">
        <x:f>SUMIFS(Raw_Data!F$2:F$51, Raw_Data!B$2:B$51, "Desktop", Raw_Data!J$2:J$51, "Faculty")</x:f>
        <x:v>9</x:v>
      </x:c>
      <x:c r="M10" s="2" t="n">
        <x:f>SUMIFS(Raw_Data!F$2:F$51, Raw_Data!B$2:B$51, "Laptop", Raw_Data!J$2:J$51, "Faculty")</x:f>
        <x:v>18</x:v>
      </x:c>
      <x:c r="N10" s="2" t="n">
        <x:f>SUMIFS(Raw_Data!F$2:F$51, Raw_Data!B$2:B$51, "Printer", Raw_Data!J$2:J$51, "Faculty")</x:f>
        <x:v>1</x:v>
      </x:c>
      <x:c r="O10" s="2" t="n">
        <x:f>SUMIFS(Raw_Data!F$2:F$51, Raw_Data!B$2:B$51, "Projector", Raw_Data!J$2:J$51, "Faculty")</x:f>
        <x:v>9</x:v>
      </x:c>
      <x:c r="P10" s="2" t="n">
        <x:f>SUMIFS(Raw_Data!F$2:F$51, Raw_Data!B$2:B$51, "Router", Raw_Data!J$2:J$51, "Faculty")</x:f>
        <x:v>24</x:v>
      </x:c>
      <x:c r="W10" s="11"/>
      <x:c r="X10" s="11"/>
    </x:row>
    <x:row r="11">
      <x:c r="A11" s="2"/>
      <x:c r="B11" s="3"/>
      <x:c r="C11" s="2"/>
      <x:c r="D11" s="10"/>
      <x:c r="E11" s="2"/>
      <x:c r="F11" s="2"/>
      <x:c r="G11" s="3"/>
      <x:c r="H11" s="10">
        <x:f>COUNTIF('Cleaned Data'!$D$2:$D$51,H11)</x:f>
      </x:c>
      <x:c r="I11" s="2">
        <x:v>12</x:v>
      </x:c>
      <x:c r="J11" s="2"/>
      <x:c r="K11" s="2" t="s">
        <x:v>32</x:v>
      </x:c>
      <x:c r="L11" s="2" t="n">
        <x:f>SUMIFS(Raw_Data!F$2:F$51, Raw_Data!B$2:B$51, "Desktop", Raw_Data!J$2:J$51, "IT")</x:f>
        <x:v>16</x:v>
      </x:c>
      <x:c r="M11" s="2" t="n">
        <x:f>SUMIFS(Raw_Data!F$2:F$51, Raw_Data!B$2:B$51, "Laptop", Raw_Data!J$2:J$51, "IT")</x:f>
        <x:v>7</x:v>
      </x:c>
      <x:c r="N11" s="2" t="n">
        <x:f>SUMIFS(Raw_Data!F$2:F$51, Raw_Data!B$2:B$51, "Printer", Raw_Data!J$2:J$51, "IT")</x:f>
        <x:v>20</x:v>
      </x:c>
      <x:c r="O11" s="2" t="n">
        <x:f>SUMIFS(Raw_Data!F$2:F$51, Raw_Data!B$2:B$51, "Projector", Raw_Data!J$2:J$51, "IT")</x:f>
        <x:v>21</x:v>
      </x:c>
      <x:c r="P11" s="2" t="n">
        <x:f>SUMIFS(Raw_Data!F$2:F$51, Raw_Data!B$2:B$51, "Router", Raw_Data!J$2:J$51, "IT")</x:f>
        <x:v>10</x:v>
      </x:c>
      <x:c r="W11" s="11"/>
      <x:c r="X11" s="11"/>
    </x:row>
    <x:row r="12">
      <x:c r="A12" s="2"/>
      <x:c r="B12" s="3"/>
      <x:c r="C12" s="2"/>
      <x:c r="D12" s="10"/>
      <x:c r="E12" s="2"/>
      <x:c r="F12" s="2"/>
      <x:c r="G12" s="3"/>
      <x:c r="H12" s="10"/>
      <x:c r="I12" s="2"/>
      <x:c r="J12" s="2"/>
      <x:c r="K12" s="2" t="s">
        <x:v>15</x:v>
      </x:c>
      <x:c r="L12" s="2" t="n">
        <x:f>SUMIFS(Raw_Data!F$2:F$51, Raw_Data!B$2:B$51, "Desktop", Raw_Data!J$2:J$51, "Library")</x:f>
        <x:v>14</x:v>
      </x:c>
      <x:c r="M12" s="2" t="n">
        <x:f>SUMIFS(Raw_Data!F$2:F$51, Raw_Data!B$2:B$51, "Laptop", Raw_Data!J$2:J$51, "Library")</x:f>
        <x:v>23</x:v>
      </x:c>
      <x:c r="N12" s="2" t="n">
        <x:f>SUMIFS(Raw_Data!F$2:F$51, Raw_Data!B$2:B$51, "Printer", Raw_Data!J$2:J$51, "Library")</x:f>
        <x:v>0</x:v>
      </x:c>
      <x:c r="O12" s="2" t="n">
        <x:f>SUMIFS(Raw_Data!F$2:F$51, Raw_Data!B$2:B$51, "Projector", Raw_Data!J$2:J$51, "Library")</x:f>
        <x:v>2</x:v>
      </x:c>
      <x:c r="P12" s="2" t="n">
        <x:f>SUMIFS(Raw_Data!F$2:F$51, Raw_Data!B$2:B$51, "Router", Raw_Data!J$2:J$51, "Library")</x:f>
        <x:v>7</x:v>
      </x:c>
      <x:c r="W12" s="11"/>
      <x:c r="X12" s="11"/>
    </x:row>
    <x:row r="13">
      <x:c r="A13" s="2"/>
      <x:c r="B13" s="3"/>
      <x:c r="C13" s="2"/>
      <x:c r="D13" s="10"/>
      <x:c r="E13" s="2"/>
      <x:c r="F13" s="2"/>
      <x:c r="G13" s="3"/>
      <x:c r="H13" s="10"/>
      <x:c r="I13" s="2"/>
      <x:c r="J13" s="2"/>
      <x:c r="K13" s="2" t="s">
        <x:v>97</x:v>
      </x:c>
      <x:c r="L13" s="2" t="n">
        <x:f>SUMIF(Raw_Data!B$2:B$51, "Desktop", Raw_Data!F$2:F$51)</x:f>
        <x:v>49</x:v>
      </x:c>
      <x:c r="M13" s="2" t="n">
        <x:f>SUMIF(Raw_Data!B$2:B$51, "Laptop", Raw_Data!F$2:F$51)</x:f>
        <x:v>60</x:v>
      </x:c>
      <x:c r="N13" s="2" t="n">
        <x:f>SUMIF(Raw_Data!B$2:B$51, "Printer", Raw_Data!F$2:F$51)</x:f>
        <x:v>31</x:v>
      </x:c>
      <x:c r="O13" s="2" t="n">
        <x:f>SUMIF(Raw_Data!B$2:B$51, "Projector", Raw_Data!F$2:F$51)</x:f>
        <x:v>69</x:v>
      </x:c>
      <x:c r="P13" s="2" t="n">
        <x:f>SUMIF(Raw_Data!B$2:B$51, "Router", Raw_Data!F$2:F$51)</x:f>
        <x:v>70</x:v>
      </x:c>
      <x:c r="W13" s="11"/>
      <x:c r="X13" s="11"/>
    </x:row>
    <x:row r="17" ht="18">
      <x:c r="A17" s="15" t="s">
        <x:v>87</x:v>
      </x:c>
      <x:c r="B17" s="16" t="s">
        <x:v>88</x:v>
      </x:c>
      <x:c r="C17" s="18" t="s">
        <x:v>9</x:v>
      </x:c>
      <x:c r="D17" s="4" t="s">
        <x:v>86</x:v>
      </x:c>
    </x:row>
    <x:row r="18">
      <x:c r="A18" s="10" t="n" cm="1">
        <x:f t="array" ref="A18">SUMPRODUCT(('Cleaned Data'!$B$2:$B$51=F2)*'Cleaned Data'!$F$2:$F$51*'Cleaned Data'!$G$2:$G$51)</x:f>
        <x:v>2020000</x:v>
      </x:c>
      <x:c r="B18" s="3" t="n">
        <x:f>SUMIF('Cleaned Data'!$B$2:$B$51,F2,'Cleaned Data'!$H$2:$H$51)</x:f>
        <x:v>21890</x:v>
      </x:c>
      <x:c r="C18" s="10" t="s">
        <x:v>15</x:v>
      </x:c>
      <x:c r="D18" s="2" t="n">
        <x:f>SUMIF('Cleaned Data'!$J$2:$J$51,C18,'Cleaned Data'!$F$2:$F$51)</x:f>
        <x:v>46</x:v>
      </x:c>
    </x:row>
    <x:row r="19" ht="18">
      <x:c r="A19" s="10" t="n" cm="1">
        <x:f t="array" ref="A19">SUMPRODUCT(('Cleaned Data'!$B$2:$B$51=F3)*'Cleaned Data'!$F$2:$F$51*'Cleaned Data'!$G$2:$G$51)</x:f>
        <x:v>1614000</x:v>
      </x:c>
      <x:c r="B19" s="3" t="n">
        <x:f>SUMIF('Cleaned Data'!$B$2:$B$51,F3,'Cleaned Data'!$H$2:$H$51)</x:f>
        <x:v>28361</x:v>
      </x:c>
      <x:c r="C19" s="10" t="s">
        <x:v>20</x:v>
      </x:c>
      <x:c r="D19" s="2" t="n">
        <x:f>SUMIF('Cleaned Data'!$J$2:$J$51,C19,'Cleaned Data'!$F$2:$F$51)</x:f>
        <x:v>98</x:v>
      </x:c>
      <x:c r="P19" s="4" t="s">
        <x:v>98</x:v>
      </x:c>
    </x:row>
    <x:row r="20">
      <x:c r="A20" s="10" t="n" cm="1">
        <x:f t="array" ref="A20">SUMPRODUCT(('Cleaned Data'!$B$2:$B$51=F4)*'Cleaned Data'!$F$2:$F$51*'Cleaned Data'!$G$2:$G$51)</x:f>
        <x:v>1079000</x:v>
      </x:c>
      <x:c r="B20" s="3" t="n">
        <x:f>SUMIF('Cleaned Data'!$B$2:$B$51,F4,'Cleaned Data'!$H$2:$H$51)</x:f>
        <x:v>19205</x:v>
      </x:c>
      <x:c r="C20" s="10" t="s">
        <x:v>23</x:v>
      </x:c>
      <x:c r="D20" s="2" t="n">
        <x:f>SUMIF('Cleaned Data'!$J$2:$J$51,C20,'Cleaned Data'!$F$2:$F$51)</x:f>
        <x:v>61</x:v>
      </x:c>
      <x:c r="P20" s="8" t="n">
        <x:f>AVERAGEIF(Raw_Data!I2:I50,"Yes",Raw_Data!H2:H50)</x:f>
        <x:v>2570.1111111111113</x:v>
      </x:c>
    </x:row>
    <x:row r="21">
      <x:c r="A21" s="10" t="n" cm="1">
        <x:f t="array" ref="A21">SUMPRODUCT(('Cleaned Data'!$B$2:$B$51=F5)*'Cleaned Data'!$F$2:$F$51*'Cleaned Data'!$G$2:$G$51)</x:f>
        <x:v>2402000</x:v>
      </x:c>
      <x:c r="B21" s="3" t="n">
        <x:f>SUMIF('Cleaned Data'!$B$2:$B$51,F5,'Cleaned Data'!$H$2:$H$51)</x:f>
        <x:v>22238</x:v>
      </x:c>
      <x:c r="C21" s="20" t="s">
        <x:v>32</x:v>
      </x:c>
      <x:c r="D21" s="2" t="n">
        <x:f>SUMIF('Cleaned Data'!$J$2:$J$51,C21,'Cleaned Data'!$F$2:$F$51)</x:f>
        <x:v>74</x:v>
      </x:c>
      <x:c r="P21" s="8" t="n">
        <x:f>AVERAGEIF(Raw_Data!I2:I50,"No",Raw_Data!H2:H50)</x:f>
        <x:v>1730.8461538461538</x:v>
      </x:c>
    </x:row>
    <x:row r="22">
      <x:c r="A22" s="10" t="n" cm="1">
        <x:f t="array" ref="A22">SUMPRODUCT(('Cleaned Data'!$B$2:$B$51=F6)*'Cleaned Data'!$F$2:$F$51*'Cleaned Data'!$G$2:$G$51)</x:f>
        <x:v>2053000</x:v>
      </x:c>
      <x:c r="B22" s="3" t="n">
        <x:f>SUMIF('Cleaned Data'!$B$2:$B$51,F6,'Cleaned Data'!$H$2:$H$51)</x:f>
        <x:v>23488</x:v>
      </x:c>
      <x:c r="C22" s="2"/>
      <x:c r="D22" s="2"/>
    </x:row>
    <x:row r="23">
      <x:c r="A23" s="10"/>
      <x:c r="B23" s="3"/>
      <x:c r="C23" s="2"/>
      <x:c r="D23" s="2"/>
    </x:row>
    <x:row r="24" ht="18">
      <x:c r="A24" s="15" t="s">
        <x:v>99</x:v>
      </x:c>
      <x:c r="B24" s="4" t="s">
        <x:v>100</x:v>
      </x:c>
      <x:c r="C24" s="19" t="s">
        <x:v>95</x:v>
      </x:c>
      <x:c r="D24" s="4" t="s">
        <x:v>86</x:v>
      </x:c>
    </x:row>
    <x:row r="25">
      <x:c r="A25" s="10" t="s">
        <x:v>101</x:v>
      </x:c>
      <x:c r="B25" s="2" t="s">
        <x:v>102</x:v>
      </x:c>
      <x:c r="C25" s="2" t="n">
        <x:f>COUNTIF(Raw_Data!D2:D51, "Needs Repair")</x:f>
        <x:v>12</x:v>
      </x:c>
      <x:c r="D25" s="2" t="n">
        <x:f>SUMIF('Cleaned Data'!D2:D51, "Needs Repair", 'Cleaned Data'!F2:F51)</x:f>
        <x:v>74</x:v>
      </x:c>
    </x:row>
    <x:row r="26">
      <x:c r="A26" s="10" t="s">
        <x:v>103</x:v>
      </x:c>
      <x:c r="B26" s="2" t="s">
        <x:v>104</x:v>
      </x:c>
      <x:c r="C26" s="2" t="n">
        <x:f>COUNTIFS(Raw_Data!E2:E51, "&gt;=5", Raw_Data!D2:D51, "Fair")</x:f>
        <x:v>8</x:v>
      </x:c>
      <x:c r="D26" s="2" t="n">
        <x:f>SUMIFS('Cleaned Data'!F2:F51, 'Cleaned Data'!E2:E51, "&gt;=5", 'Cleaned Data'!D2:D51, "Fair")</x:f>
        <x:v>30</x:v>
      </x:c>
    </x:row>
    <x:row r="27">
      <x:c r="A27" s="10" t="s">
        <x:v>105</x:v>
      </x:c>
      <x:c r="B27" s="2" t="s">
        <x:v>106</x:v>
      </x:c>
      <x:c r="C27" s="2" t="n">
        <x:f>COUNTIFS('Cleaned Data'!D2:D51, "&lt;&gt;Needs Repair", 'Cleaned Data'!E2:E51, "&lt;5") + COUNTIFS('Cleaned Data'!D2:D51, "Good", 'Cleaned Data'!E2:E51, "&gt;=5")</x:f>
        <x:v>30</x:v>
      </x:c>
      <x:c r="D27" s="2" t="n">
        <x:f>SUMIFS('Cleaned Data'!F2:F51, 'Cleaned Data'!D2:D51, "&lt;&gt;Needs Repair", 'Cleaned Data'!E2:E51, "&lt;5") + SUMIFS('Cleaned Data'!F2:F51, 'Cleaned Data'!D2:D51, "Good", 'Cleaned Data'!E2:E51, "&gt;=5")</x:f>
        <x:v>175</x:v>
      </x:c>
    </x:row>
    <x:row r="28">
      <x:c r="A28" s="10" t="s">
        <x:v>97</x:v>
      </x:c>
      <x:c r="B28" s="2" t="s">
        <x:v>107</x:v>
      </x:c>
      <x:c r="C28" s="2" t="n">
        <x:f>SUM(C25:C27)</x:f>
        <x:v>50</x:v>
      </x:c>
      <x:c r="D28" s="2" t="n">
        <x:f>SUM(D25:D27)</x:f>
        <x:v>279</x:v>
      </x:c>
    </x:row>
    <x:row r="29">
      <x:c r="A29" s="10"/>
      <x:c r="B29" s="2"/>
      <x:c r="C29" s="2"/>
      <x:c r="D29" s="2"/>
    </x:row>
  </x:sheetData>
  <x:pageMargins left="0.7" right="0.7" top="0.75" bottom="0.75" header="0.3" footer="0.3"/>
  <x:drawing xmlns:r="http://schemas.openxmlformats.org/officeDocument/2006/relationships" r:id="R774d0bda78a04e5d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0.44140625" customWidth="1"/>
    <x:col min="2" max="2" width="14.88671875" customWidth="1"/>
    <x:col min="3" max="3" width="18.6640625" customWidth="1"/>
    <x:col min="4" max="4" width="15.77734375" customWidth="1"/>
    <x:col min="5" max="5" width="28.6640625" customWidth="1"/>
  </x:cols>
  <x:sheetData>
    <x:row r="3">
      <x:c r="A3" s="30" t="s">
        <x:v>108</x:v>
      </x:c>
      <x:c r="B3" s="2" t="s">
        <x:v>109</x:v>
      </x:c>
      <x:c r="C3" s="2" t="s">
        <x:v>110</x:v>
      </x:c>
      <x:c r="D3" s="2" t="s">
        <x:v>111</x:v>
      </x:c>
      <x:c r="E3" s="2" t="s">
        <x:v>112</x:v>
      </x:c>
    </x:row>
    <x:row r="4">
      <x:c r="A4" s="13" t="s">
        <x:v>11</x:v>
      </x:c>
      <x:c r="B4" s="2">
        <x:v>49</x:v>
      </x:c>
      <x:c r="C4" s="31">
        <x:v>4.5</x:v>
      </x:c>
      <x:c r="D4" s="32">
        <x:v>343000</x:v>
      </x:c>
      <x:c r="E4" s="32">
        <x:v>21890</x:v>
      </x:c>
    </x:row>
    <x:row r="5">
      <x:c r="A5" s="13" t="s">
        <x:v>22</x:v>
      </x:c>
      <x:c r="B5" s="2">
        <x:v>60</x:v>
      </x:c>
      <x:c r="C5" s="31">
        <x:v>4.1818181818181817</x:v>
      </x:c>
      <x:c r="D5" s="32">
        <x:v>309000</x:v>
      </x:c>
      <x:c r="E5" s="32">
        <x:v>28361</x:v>
      </x:c>
    </x:row>
    <x:row r="6">
      <x:c r="A6" s="13" t="s">
        <x:v>45</x:v>
      </x:c>
      <x:c r="B6" s="2">
        <x:v>31</x:v>
      </x:c>
      <x:c r="C6" s="31">
        <x:v>4.7142857142857144</x:v>
      </x:c>
      <x:c r="D6" s="32">
        <x:v>236000</x:v>
      </x:c>
      <x:c r="E6" s="32">
        <x:v>19205</x:v>
      </x:c>
    </x:row>
    <x:row r="7">
      <x:c r="A7" s="13" t="s">
        <x:v>17</x:v>
      </x:c>
      <x:c r="B7" s="2">
        <x:v>69</x:v>
      </x:c>
      <x:c r="C7" s="31">
        <x:v>3.5454545454545454</x:v>
      </x:c>
      <x:c r="D7" s="32">
        <x:v>341000</x:v>
      </x:c>
      <x:c r="E7" s="32">
        <x:v>23488</x:v>
      </x:c>
    </x:row>
    <x:row r="8">
      <x:c r="A8" s="13" t="s">
        <x:v>28</x:v>
      </x:c>
      <x:c r="B8" s="2">
        <x:v>70</x:v>
      </x:c>
      <x:c r="C8" s="31">
        <x:v>3.2307692307692308</x:v>
      </x:c>
      <x:c r="D8" s="32">
        <x:v>454000</x:v>
      </x:c>
      <x:c r="E8" s="32">
        <x:v>22238</x:v>
      </x:c>
    </x:row>
    <x:row r="9">
      <x:c r="A9" s="13" t="s">
        <x:v>113</x:v>
      </x:c>
      <x:c r="B9" s="2">
        <x:v>279</x:v>
      </x:c>
      <x:c r="C9" s="31">
        <x:v>3.92</x:v>
      </x:c>
      <x:c r="D9" s="32">
        <x:v>1683000</x:v>
      </x:c>
      <x:c r="E9" s="32">
        <x:v>115182</x:v>
      </x:c>
    </x:row>
    <x:row r="13">
      <x:c r="A13" s="5" t="s">
        <x:v>84</x:v>
      </x:c>
      <x:c r="B13" s="5" t="s">
        <x:v>80</x:v>
      </x:c>
    </x:row>
    <x:row r="14">
      <x:c r="A14" s="2" t="s">
        <x:v>114</x:v>
      </x:c>
      <x:c r="B14" s="33" t="n">
        <x:f>MAX(D4:D8)</x:f>
        <x:v>454000</x:v>
      </x:c>
    </x:row>
    <x:row r="15">
      <x:c r="A15" s="2" t="s">
        <x:v>115</x:v>
      </x:c>
      <x:c r="B15" s="13" t="s">
        <x:v>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3" max="13" width="16.88671875" customWidth="1"/>
  </x:cols>
  <x:sheetData/>
  <x:pageMargins left="0.7" right="0.7" top="0.75" bottom="0.75" header="0.3" footer="0.3"/>
  <x:drawing xmlns:r="http://schemas.openxmlformats.org/officeDocument/2006/relationships" r:id="R44826dbde8be4e64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92.88671875" customWidth="1"/>
    <x:col min="2" max="2" width="104.77734375" customWidth="1"/>
  </x:cols>
  <x:sheetData>
    <x:row r="1">
      <x:c r="A1" s="1" t="s">
        <x:v>116</x:v>
      </x:c>
    </x:row>
    <x:row r="2">
      <x:c r="A2" t="s">
        <x:v>117</x:v>
      </x:c>
    </x:row>
    <x:row r="3">
      <x:c r="A3" t="s">
        <x:v>118</x:v>
      </x:c>
    </x:row>
    <x:row r="4">
      <x:c r="A4" t="s">
        <x:v>119</x:v>
      </x:c>
    </x:row>
    <x:row r="5">
      <x:c r="A5" t="s">
        <x:v>120</x:v>
      </x:c>
    </x:row>
    <x:row r="7">
      <x:c r="A7" s="1" t="s">
        <x:v>121</x:v>
      </x:c>
    </x:row>
    <x:row r="8">
      <x:c r="A8" s="1" t="s">
        <x:v>122</x:v>
      </x:c>
    </x:row>
    <x:row r="9">
      <x:c r="A9" s="1" t="s">
        <x:v>123</x:v>
      </x:c>
    </x:row>
    <x:row r="10">
      <x:c r="A10" s="1" t="s">
        <x:v>124</x:v>
      </x:c>
    </x:row>
    <x:row r="11">
      <x:c r="A11" s="1" t="s">
        <x:v>125</x:v>
      </x:c>
    </x:row>
    <x:row r="14">
      <x:c r="A14" s="1" t="s">
        <x:v>126</x:v>
      </x:c>
    </x:row>
    <x:row r="16">
      <x:c r="A16" t="s">
        <x:v>127</x:v>
      </x:c>
    </x:row>
    <x:row r="17">
      <x:c r="A17" t="s">
        <x:v>128</x:v>
      </x:c>
    </x:row>
    <x:row r="18">
      <x:c r="A18" t="s">
        <x:v>129</x:v>
      </x:c>
    </x:row>
  </x:sheetData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70e83687d9984bd3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70e83687d9984bd3" refreshedBy="Erica mae" refreshedDate="46283.02540497685" createdVersion="8" refreshedVersion="8" minRefreshableVersion="3" recordCount="50">
  <x:cacheSource type="worksheet">
    <x:worksheetSource ref="A1:J51" sheet="Raw_Data"/>
  </x:cacheSource>
  <x:cacheFields count="10">
    <x:cacheField name="Asset_ID" numFmtId="0">
      <x:sharedItems/>
    </x:cacheField>
    <x:cacheField name="Equipment_Type" numFmtId="0">
      <x:sharedItems count="5">
        <x:s v="Desktop"/>
        <x:s v="Projector"/>
        <x:s v="Laptop"/>
        <x:s v="Router"/>
        <x:s v="Printer"/>
      </x:sharedItems>
    </x:cacheField>
    <x:cacheField name="Brand" numFmtId="0">
      <x:sharedItems/>
    </x:cacheField>
    <x:cacheField name="Condition" numFmtId="0">
      <x:sharedItems/>
    </x:cacheField>
    <x:cacheField name="Age_Years" numFmtId="0">
      <x:sharedItems containsSemiMixedTypes="0" containsString="0" containsNumber="1" containsInteger="1" minValue="0" maxValue="7"/>
    </x:cacheField>
    <x:cacheField name="Quantity" numFmtId="0">
      <x:sharedItems containsSemiMixedTypes="0" containsString="0" containsNumber="1" containsInteger="1" minValue="1" maxValue="10"/>
    </x:cacheField>
    <x:cacheField name="Unit_Cost" numFmtId="0">
      <x:sharedItems containsSemiMixedTypes="0" containsString="0" containsNumber="1" containsInteger="1" minValue="18000" maxValue="60000"/>
    </x:cacheField>
    <x:cacheField name="Maintenance_Cost" numFmtId="0">
      <x:sharedItems containsSemiMixedTypes="0" containsString="0" containsNumber="1" containsInteger="1" minValue="20" maxValue="5799"/>
    </x:cacheField>
    <x:cacheField name="Warranty" numFmtId="0">
      <x:sharedItems/>
    </x:cacheField>
    <x:cacheField name="Department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50">
  <x:r>
    <x:s v="A8000"/>
    <x:x v="0"/>
    <x:s v="Epson"/>
    <x:s v="Fair"/>
    <x:n v="5"/>
    <x:n v="2"/>
    <x:n v="45000"/>
    <x:n v="1504"/>
    <x:s v="No"/>
    <x:s v="Library"/>
  </x:r>
  <x:r>
    <x:s v="A8001"/>
    <x:x v="1"/>
    <x:s v="Dell"/>
    <x:s v="Fair"/>
    <x:n v="6"/>
    <x:n v="4"/>
    <x:n v="45000"/>
    <x:n v="3418"/>
    <x:s v="Yes"/>
    <x:s v="Admin"/>
  </x:r>
  <x:r>
    <x:s v="A8002"/>
    <x:x v="2"/>
    <x:s v="Dell"/>
    <x:s v="Fair"/>
    <x:n v="4"/>
    <x:n v="5"/>
    <x:n v="25000"/>
    <x:n v="3162"/>
    <x:s v="No"/>
    <x:s v="Faculty"/>
  </x:r>
  <x:r>
    <x:s v="A8003"/>
    <x:x v="1"/>
    <x:s v="Cisco"/>
    <x:s v="Needs Repair"/>
    <x:n v="5"/>
    <x:n v="8"/>
    <x:n v="25000"/>
    <x:n v="606"/>
    <x:s v="Yes"/>
    <x:s v="Admin"/>
  </x:r>
  <x:r>
    <x:s v="A8004"/>
    <x:x v="3"/>
    <x:s v="Epson"/>
    <x:s v="Good"/>
    <x:n v="3"/>
    <x:n v="3"/>
    <x:n v="25000"/>
    <x:n v="551"/>
    <x:s v="Yes"/>
    <x:s v="Admin"/>
  </x:r>
  <x:r>
    <x:s v="A8005"/>
    <x:x v="3"/>
    <x:s v="HP"/>
    <x:s v="Fair"/>
    <x:n v="2"/>
    <x:n v="4"/>
    <x:n v="45000"/>
    <x:n v="1341"/>
    <x:s v="Yes"/>
    <x:s v="IT"/>
  </x:r>
  <x:r>
    <x:s v="A8006"/>
    <x:x v="0"/>
    <x:s v="HP"/>
    <x:s v="Good"/>
    <x:n v="7"/>
    <x:n v="7"/>
    <x:n v="45000"/>
    <x:n v="4574"/>
    <x:s v="Yes"/>
    <x:s v="Library"/>
  </x:r>
  <x:r>
    <x:s v="A8007"/>
    <x:x v="2"/>
    <x:s v="Dell"/>
    <x:s v="Fair"/>
    <x:n v="7"/>
    <x:n v="6"/>
    <x:n v="25000"/>
    <x:n v="4615"/>
    <x:s v="Yes"/>
    <x:s v="Admin"/>
  </x:r>
  <x:r>
    <x:s v="A8008"/>
    <x:x v="3"/>
    <x:s v="Epson"/>
    <x:s v="Good"/>
    <x:n v="0"/>
    <x:n v="9"/>
    <x:n v="60000"/>
    <x:n v="456"/>
    <x:s v="Yes"/>
    <x:s v="Admin"/>
  </x:r>
  <x:r>
    <x:s v="A8009"/>
    <x:x v="3"/>
    <x:s v="Lenovo"/>
    <x:s v="Good"/>
    <x:n v="5"/>
    <x:n v="7"/>
    <x:n v="18000"/>
    <x:n v="4612"/>
    <x:s v="Yes"/>
    <x:s v="Library"/>
  </x:r>
  <x:r>
    <x:s v="A8010"/>
    <x:x v="2"/>
    <x:s v="Cisco"/>
    <x:s v="Good"/>
    <x:n v="6"/>
    <x:n v="4"/>
    <x:n v="60000"/>
    <x:n v="4779"/>
    <x:s v="Yes"/>
    <x:s v="IT"/>
  </x:r>
  <x:r>
    <x:s v="A8011"/>
    <x:x v="3"/>
    <x:s v="Dell"/>
    <x:s v="Needs Repair"/>
    <x:n v="1"/>
    <x:n v="1"/>
    <x:n v="60000"/>
    <x:n v="759"/>
    <x:s v="No"/>
    <x:s v="IT"/>
  </x:r>
  <x:r>
    <x:s v="A8012"/>
    <x:x v="0"/>
    <x:s v="Dell"/>
    <x:s v="Fair"/>
    <x:n v="4"/>
    <x:n v="4"/>
    <x:n v="60000"/>
    <x:n v="3345"/>
    <x:s v="No"/>
    <x:s v="Admin"/>
  </x:r>
  <x:r>
    <x:s v="A8013"/>
    <x:x v="0"/>
    <x:s v="Cisco"/>
    <x:s v="Needs Repair"/>
    <x:n v="4"/>
    <x:n v="9"/>
    <x:n v="60000"/>
    <x:n v="4560"/>
    <x:s v="Yes"/>
    <x:s v="Faculty"/>
  </x:r>
  <x:r>
    <x:s v="A8014"/>
    <x:x v="0"/>
    <x:s v="Cisco"/>
    <x:s v="Needs Repair"/>
    <x:n v="0"/>
    <x:n v="6"/>
    <x:n v="35000"/>
    <x:n v="20"/>
    <x:s v="No"/>
    <x:s v="Admin"/>
  </x:r>
  <x:r>
    <x:s v="A8015"/>
    <x:x v="1"/>
    <x:s v="HP"/>
    <x:s v="Fair"/>
    <x:n v="4"/>
    <x:n v="9"/>
    <x:n v="25000"/>
    <x:n v="2594"/>
    <x:s v="Yes"/>
    <x:s v="Admin"/>
  </x:r>
  <x:r>
    <x:s v="A8016"/>
    <x:x v="4"/>
    <x:s v="HP"/>
    <x:s v="Needs Repair"/>
    <x:n v="5"/>
    <x:n v="9"/>
    <x:n v="25000"/>
    <x:n v="4377"/>
    <x:s v="Yes"/>
    <x:s v="IT"/>
  </x:r>
  <x:r>
    <x:s v="A8017"/>
    <x:x v="4"/>
    <x:s v="HP"/>
    <x:s v="Good"/>
    <x:n v="5"/>
    <x:n v="6"/>
    <x:n v="45000"/>
    <x:n v="3218"/>
    <x:s v="Yes"/>
    <x:s v="Admin"/>
  </x:r>
  <x:r>
    <x:s v="A8018"/>
    <x:x v="2"/>
    <x:s v="Lenovo"/>
    <x:s v="Good"/>
    <x:n v="3"/>
    <x:n v="7"/>
    <x:n v="25000"/>
    <x:n v="519"/>
    <x:s v="No"/>
    <x:s v="Library"/>
  </x:r>
  <x:r>
    <x:s v="A8019"/>
    <x:x v="0"/>
    <x:s v="Cisco"/>
    <x:s v="Good"/>
    <x:n v="5"/>
    <x:n v="5"/>
    <x:n v="35000"/>
    <x:n v="1273"/>
    <x:s v="Yes"/>
    <x:s v="Library"/>
  </x:r>
  <x:r>
    <x:s v="A8020"/>
    <x:x v="2"/>
    <x:s v="Dell"/>
    <x:s v="Fair"/>
    <x:n v="0"/>
    <x:n v="10"/>
    <x:n v="18000"/>
    <x:n v="447"/>
    <x:s v="No"/>
    <x:s v="Library"/>
  </x:r>
  <x:r>
    <x:s v="A8021"/>
    <x:x v="1"/>
    <x:s v="Cisco"/>
    <x:s v="Needs Repair"/>
    <x:n v="1"/>
    <x:n v="4"/>
    <x:n v="25000"/>
    <x:n v="24"/>
    <x:s v="Yes"/>
    <x:s v="IT"/>
  </x:r>
  <x:r>
    <x:s v="A8022"/>
    <x:x v="2"/>
    <x:s v="Cisco"/>
    <x:s v="Good"/>
    <x:n v="7"/>
    <x:n v="6"/>
    <x:n v="25000"/>
    <x:n v="4720"/>
    <x:s v="Yes"/>
    <x:s v="Faculty"/>
  </x:r>
  <x:r>
    <x:s v="A8023"/>
    <x:x v="3"/>
    <x:s v="Lenovo"/>
    <x:s v="Fair"/>
    <x:n v="5"/>
    <x:n v="6"/>
    <x:n v="45000"/>
    <x:n v="1453"/>
    <x:s v="No"/>
    <x:s v="Admin"/>
  </x:r>
  <x:r>
    <x:s v="A8024"/>
    <x:x v="2"/>
    <x:s v="Cisco"/>
    <x:s v="Good"/>
    <x:n v="7"/>
    <x:n v="7"/>
    <x:n v="18000"/>
    <x:n v="3437"/>
    <x:s v="Yes"/>
    <x:s v="Faculty"/>
  </x:r>
  <x:r>
    <x:s v="A8025"/>
    <x:x v="0"/>
    <x:s v="Cisco"/>
    <x:s v="Fair"/>
    <x:n v="7"/>
    <x:n v="6"/>
    <x:n v="45000"/>
    <x:n v="5283"/>
    <x:s v="Yes"/>
    <x:s v="IT"/>
  </x:r>
  <x:r>
    <x:s v="A8026"/>
    <x:x v="3"/>
    <x:s v="HP"/>
    <x:s v="Needs Repair"/>
    <x:n v="6"/>
    <x:n v="7"/>
    <x:n v="18000"/>
    <x:n v="2945"/>
    <x:s v="Yes"/>
    <x:s v="Admin"/>
  </x:r>
  <x:r>
    <x:s v="A8027"/>
    <x:x v="0"/>
    <x:s v="Cisco"/>
    <x:s v="Good"/>
    <x:n v="4"/>
    <x:n v="10"/>
    <x:n v="18000"/>
    <x:n v="1331"/>
    <x:s v="Yes"/>
    <x:s v="IT"/>
  </x:r>
  <x:r>
    <x:s v="A8028"/>
    <x:x v="2"/>
    <x:s v="HP"/>
    <x:s v="Fair"/>
    <x:n v="2"/>
    <x:n v="6"/>
    <x:n v="25000"/>
    <x:n v="633"/>
    <x:s v="Yes"/>
    <x:s v="Library"/>
  </x:r>
  <x:r>
    <x:s v="A8029"/>
    <x:x v="4"/>
    <x:s v="HP"/>
    <x:s v="Good"/>
    <x:n v="7"/>
    <x:n v="2"/>
    <x:n v="35000"/>
    <x:n v="3543"/>
    <x:s v="Yes"/>
    <x:s v="Admin"/>
  </x:r>
  <x:r>
    <x:s v="A8030"/>
    <x:x v="3"/>
    <x:s v="Epson"/>
    <x:s v="Good"/>
    <x:n v="3"/>
    <x:n v="5"/>
    <x:n v="35000"/>
    <x:n v="485"/>
    <x:s v="Yes"/>
    <x:s v="IT"/>
  </x:r>
  <x:r>
    <x:s v="A8031"/>
    <x:x v="1"/>
    <x:s v="Epson"/>
    <x:s v="Fair"/>
    <x:n v="3"/>
    <x:n v="3"/>
    <x:n v="35000"/>
    <x:n v="1169"/>
    <x:s v="Yes"/>
    <x:s v="Faculty"/>
  </x:r>
  <x:r>
    <x:s v="A8032"/>
    <x:x v="4"/>
    <x:s v="HP"/>
    <x:s v="Needs Repair"/>
    <x:n v="7"/>
    <x:n v="8"/>
    <x:n v="35000"/>
    <x:n v="701"/>
    <x:s v="Yes"/>
    <x:s v="IT"/>
  </x:r>
  <x:r>
    <x:s v="A8033"/>
    <x:x v="1"/>
    <x:s v="Dell"/>
    <x:s v="Needs Repair"/>
    <x:n v="2"/>
    <x:n v="6"/>
    <x:n v="35000"/>
    <x:n v="307"/>
    <x:s v="Yes"/>
    <x:s v="Admin"/>
  </x:r>
  <x:r>
    <x:s v="A8034"/>
    <x:x v="3"/>
    <x:s v="Epson"/>
    <x:s v="Fair"/>
    <x:n v="7"/>
    <x:n v="2"/>
    <x:n v="25000"/>
    <x:n v="5003"/>
    <x:s v="Yes"/>
    <x:s v="Faculty"/>
  </x:r>
  <x:r>
    <x:s v="A8035"/>
    <x:x v="3"/>
    <x:s v="HP"/>
    <x:s v="Fair"/>
    <x:n v="0"/>
    <x:n v="4"/>
    <x:n v="35000"/>
    <x:n v="677"/>
    <x:s v="No"/>
    <x:s v="Admin"/>
  </x:r>
  <x:r>
    <x:s v="A8036"/>
    <x:x v="1"/>
    <x:s v="Epson"/>
    <x:s v="Good"/>
    <x:n v="4"/>
    <x:n v="8"/>
    <x:n v="45000"/>
    <x:n v="5799"/>
    <x:s v="Yes"/>
    <x:s v="IT"/>
  </x:r>
  <x:r>
    <x:s v="A8037"/>
    <x:x v="4"/>
    <x:s v="Dell"/>
    <x:s v="Fair"/>
    <x:n v="7"/>
    <x:n v="1"/>
    <x:n v="18000"/>
    <x:n v="5789"/>
    <x:s v="Yes"/>
    <x:s v="Faculty"/>
  </x:r>
  <x:r>
    <x:s v="A8038"/>
    <x:x v="1"/>
    <x:s v="Dell"/>
    <x:s v="Needs Repair"/>
    <x:n v="0"/>
    <x:n v="6"/>
    <x:n v="18000"/>
    <x:n v="701"/>
    <x:s v="Yes"/>
    <x:s v="Faculty"/>
  </x:r>
  <x:r>
    <x:s v="A8039"/>
    <x:x v="2"/>
    <x:s v="Lenovo"/>
    <x:s v="Needs Repair"/>
    <x:n v="4"/>
    <x:n v="1"/>
    <x:n v="18000"/>
    <x:n v="2591"/>
    <x:s v="Yes"/>
    <x:s v="Admin"/>
  </x:r>
  <x:r>
    <x:s v="A8040"/>
    <x:x v="2"/>
    <x:s v="Lenovo"/>
    <x:s v="Fair"/>
    <x:n v="2"/>
    <x:n v="5"/>
    <x:n v="45000"/>
    <x:n v="1451"/>
    <x:s v="No"/>
    <x:s v="Admin"/>
  </x:r>
  <x:r>
    <x:s v="A8041"/>
    <x:x v="3"/>
    <x:s v="Lenovo"/>
    <x:s v="Fair"/>
    <x:n v="6"/>
    <x:n v="3"/>
    <x:n v="25000"/>
    <x:n v="3566"/>
    <x:s v="Yes"/>
    <x:s v="Faculty"/>
  </x:r>
  <x:r>
    <x:s v="A8042"/>
    <x:x v="4"/>
    <x:s v="Cisco"/>
    <x:s v="Fair"/>
    <x:n v="2"/>
    <x:n v="2"/>
    <x:n v="18000"/>
    <x:n v="572"/>
    <x:s v="Yes"/>
    <x:s v="Admin"/>
  </x:r>
  <x:r>
    <x:s v="A8043"/>
    <x:x v="1"/>
    <x:s v="Dell"/>
    <x:s v="Good"/>
    <x:n v="5"/>
    <x:n v="9"/>
    <x:n v="35000"/>
    <x:n v="1899"/>
    <x:s v="No"/>
    <x:s v="IT"/>
  </x:r>
  <x:r>
    <x:s v="A8044"/>
    <x:x v="1"/>
    <x:s v="Epson"/>
    <x:s v="Good"/>
    <x:n v="5"/>
    <x:n v="10"/>
    <x:n v="18000"/>
    <x:n v="5258"/>
    <x:s v="No"/>
    <x:s v="Admin"/>
  </x:r>
  <x:r>
    <x:s v="A8045"/>
    <x:x v="1"/>
    <x:s v="Lenovo"/>
    <x:s v="Fair"/>
    <x:n v="4"/>
    <x:n v="2"/>
    <x:n v="35000"/>
    <x:n v="1713"/>
    <x:s v="Yes"/>
    <x:s v="Library"/>
  </x:r>
  <x:r>
    <x:s v="A8046"/>
    <x:x v="3"/>
    <x:s v="Lenovo"/>
    <x:s v="Fair"/>
    <x:n v="2"/>
    <x:n v="10"/>
    <x:n v="18000"/>
    <x:n v="233"/>
    <x:s v="Yes"/>
    <x:s v="Faculty"/>
  </x:r>
  <x:r>
    <x:s v="A8047"/>
    <x:x v="2"/>
    <x:s v="Epson"/>
    <x:s v="Fair"/>
    <x:n v="4"/>
    <x:n v="3"/>
    <x:n v="25000"/>
    <x:n v="2007"/>
    <x:s v="No"/>
    <x:s v="IT"/>
  </x:r>
  <x:r>
    <x:s v="A8048"/>
    <x:x v="4"/>
    <x:s v="HP"/>
    <x:s v="Good"/>
    <x:n v="0"/>
    <x:n v="3"/>
    <x:n v="60000"/>
    <x:n v="1005"/>
    <x:s v="Yes"/>
    <x:s v="IT"/>
  </x:r>
  <x:r>
    <x:s v="A8049"/>
    <x:x v="3"/>
    <x:s v="Lenovo"/>
    <x:s v="Needs Repair"/>
    <x:n v="2"/>
    <x:n v="9"/>
    <x:n v="45000"/>
    <x:n v="157"/>
    <x:s v="No"/>
    <x:s v="Faculty"/>
  </x:r>
</x:pivotCacheRecords>
</file>